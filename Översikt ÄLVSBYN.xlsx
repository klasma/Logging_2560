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45976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45976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45976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45976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45976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45976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45432-2025</t>
        </is>
      </c>
      <c r="B8" s="1" t="n">
        <v>45922.46042824074</v>
      </c>
      <c r="C8" s="1" t="n">
        <v>45976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11.9</v>
      </c>
      <c r="H8" t="n">
        <v>6</v>
      </c>
      <c r="I8" t="n">
        <v>3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15</v>
      </c>
      <c r="R8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8">
        <f>HYPERLINK("https://klasma.github.io/Logging_2560/artfynd/A 45432-2025 artfynd.xlsx", "A 45432-2025")</f>
        <v/>
      </c>
      <c r="T8">
        <f>HYPERLINK("https://klasma.github.io/Logging_2560/kartor/A 45432-2025 karta.png", "A 45432-2025")</f>
        <v/>
      </c>
      <c r="U8">
        <f>HYPERLINK("https://klasma.github.io/Logging_2560/knärot/A 45432-2025 karta knärot.png", "A 45432-2025")</f>
        <v/>
      </c>
      <c r="V8">
        <f>HYPERLINK("https://klasma.github.io/Logging_2560/klagomål/A 45432-2025 FSC-klagomål.docx", "A 45432-2025")</f>
        <v/>
      </c>
      <c r="W8">
        <f>HYPERLINK("https://klasma.github.io/Logging_2560/klagomålsmail/A 45432-2025 FSC-klagomål mail.docx", "A 45432-2025")</f>
        <v/>
      </c>
      <c r="X8">
        <f>HYPERLINK("https://klasma.github.io/Logging_2560/tillsyn/A 45432-2025 tillsynsbegäran.docx", "A 45432-2025")</f>
        <v/>
      </c>
      <c r="Y8">
        <f>HYPERLINK("https://klasma.github.io/Logging_2560/tillsynsmail/A 45432-2025 tillsynsbegäran mail.docx", "A 45432-2025")</f>
        <v/>
      </c>
      <c r="Z8">
        <f>HYPERLINK("https://klasma.github.io/Logging_2560/fåglar/A 45432-2025 prioriterade fågelarter.docx", "A 45432-2025")</f>
        <v/>
      </c>
    </row>
    <row r="9" ht="15" customHeight="1">
      <c r="A9" t="inlineStr">
        <is>
          <t>A 18646-2024</t>
        </is>
      </c>
      <c r="B9" s="1" t="n">
        <v>45425</v>
      </c>
      <c r="C9" s="1" t="n">
        <v>45976</v>
      </c>
      <c r="D9" t="inlineStr">
        <is>
          <t>NORRBOTTENS LÄN</t>
        </is>
      </c>
      <c r="E9" t="inlineStr">
        <is>
          <t>ÄLVSBYN</t>
        </is>
      </c>
      <c r="F9" t="inlineStr">
        <is>
          <t>SCA</t>
        </is>
      </c>
      <c r="G9" t="n">
        <v>2.6</v>
      </c>
      <c r="H9" t="n">
        <v>3</v>
      </c>
      <c r="I9" t="n">
        <v>4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15</v>
      </c>
      <c r="R9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9">
        <f>HYPERLINK("https://klasma.github.io/Logging_2560/artfynd/A 18646-2024 artfynd.xlsx", "A 18646-2024")</f>
        <v/>
      </c>
      <c r="T9">
        <f>HYPERLINK("https://klasma.github.io/Logging_2560/kartor/A 18646-2024 karta.png", "A 18646-2024")</f>
        <v/>
      </c>
      <c r="V9">
        <f>HYPERLINK("https://klasma.github.io/Logging_2560/klagomål/A 18646-2024 FSC-klagomål.docx", "A 18646-2024")</f>
        <v/>
      </c>
      <c r="W9">
        <f>HYPERLINK("https://klasma.github.io/Logging_2560/klagomålsmail/A 18646-2024 FSC-klagomål mail.docx", "A 18646-2024")</f>
        <v/>
      </c>
      <c r="X9">
        <f>HYPERLINK("https://klasma.github.io/Logging_2560/tillsyn/A 18646-2024 tillsynsbegäran.docx", "A 18646-2024")</f>
        <v/>
      </c>
      <c r="Y9">
        <f>HYPERLINK("https://klasma.github.io/Logging_2560/tillsynsmail/A 18646-2024 tillsynsbegäran mail.docx", "A 18646-2024")</f>
        <v/>
      </c>
      <c r="Z9">
        <f>HYPERLINK("https://klasma.github.io/Logging_2560/fåglar/A 18646-2024 prioriterade fågelarter.docx", "A 18646-2024")</f>
        <v/>
      </c>
    </row>
    <row r="10" ht="15" customHeight="1">
      <c r="A10" t="inlineStr">
        <is>
          <t>A 61009-2021</t>
        </is>
      </c>
      <c r="B10" s="1" t="n">
        <v>44497</v>
      </c>
      <c r="C10" s="1" t="n">
        <v>45976</v>
      </c>
      <c r="D10" t="inlineStr">
        <is>
          <t>NORRBOTTENS LÄN</t>
        </is>
      </c>
      <c r="E10" t="inlineStr">
        <is>
          <t>ÄLVSBYN</t>
        </is>
      </c>
      <c r="G10" t="n">
        <v>16.2</v>
      </c>
      <c r="H10" t="n">
        <v>5</v>
      </c>
      <c r="I10" t="n">
        <v>3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14</v>
      </c>
      <c r="R10" s="2" t="inlineStr">
        <is>
          <t>Garnlav
Kungsörn
Motaggsvamp
Skrovlig flatbagge
Vedflamlav
Violettgrå tagellav
Vitplätt
Bronshjon
Luddlav
Nästlav
Tjäder
Brudsporre
Fläcknycklar
Nattviol</t>
        </is>
      </c>
      <c r="S10">
        <f>HYPERLINK("https://klasma.github.io/Logging_2560/artfynd/A 61009-2021 artfynd.xlsx", "A 61009-2021")</f>
        <v/>
      </c>
      <c r="T10">
        <f>HYPERLINK("https://klasma.github.io/Logging_2560/kartor/A 61009-2021 karta.png", "A 61009-2021")</f>
        <v/>
      </c>
      <c r="U10">
        <f>HYPERLINK("https://klasma.github.io/Logging_2560/knärot/A 61009-2021 karta knärot.png", "A 61009-2021")</f>
        <v/>
      </c>
      <c r="V10">
        <f>HYPERLINK("https://klasma.github.io/Logging_2560/klagomål/A 61009-2021 FSC-klagomål.docx", "A 61009-2021")</f>
        <v/>
      </c>
      <c r="W10">
        <f>HYPERLINK("https://klasma.github.io/Logging_2560/klagomålsmail/A 61009-2021 FSC-klagomål mail.docx", "A 61009-2021")</f>
        <v/>
      </c>
      <c r="X10">
        <f>HYPERLINK("https://klasma.github.io/Logging_2560/tillsyn/A 61009-2021 tillsynsbegäran.docx", "A 61009-2021")</f>
        <v/>
      </c>
      <c r="Y10">
        <f>HYPERLINK("https://klasma.github.io/Logging_2560/tillsynsmail/A 61009-2021 tillsynsbegäran mail.docx", "A 61009-2021")</f>
        <v/>
      </c>
      <c r="Z10">
        <f>HYPERLINK("https://klasma.github.io/Logging_2560/fåglar/A 61009-2021 prioriterade fågelarter.docx", "A 61009-2021")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45976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56243-2024</t>
        </is>
      </c>
      <c r="B12" s="1" t="n">
        <v>45624</v>
      </c>
      <c r="C12" s="1" t="n">
        <v>45976</v>
      </c>
      <c r="D12" t="inlineStr">
        <is>
          <t>NORRBOTTENS LÄN</t>
        </is>
      </c>
      <c r="E12" t="inlineStr">
        <is>
          <t>ÄLVSBYN</t>
        </is>
      </c>
      <c r="G12" t="n">
        <v>3.1</v>
      </c>
      <c r="H12" t="n">
        <v>3</v>
      </c>
      <c r="I12" t="n">
        <v>1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14</v>
      </c>
      <c r="R12" s="2" t="inlineStr">
        <is>
          <t>Knärot
Spadskinn
Brunpudrad nållav
Dvärgbägarlav
Kolflarnlav
Motaggsvamp
Mörk kolflarnlav
Talltaggsvamp
Vedflamlav
Vedskivlav
Vitplätt
Dropptaggsvamp
Tjäder
Revlummer</t>
        </is>
      </c>
      <c r="S12">
        <f>HYPERLINK("https://klasma.github.io/Logging_2560/artfynd/A 56243-2024 artfynd.xlsx", "A 56243-2024")</f>
        <v/>
      </c>
      <c r="T12">
        <f>HYPERLINK("https://klasma.github.io/Logging_2560/kartor/A 56243-2024 karta.png", "A 56243-2024")</f>
        <v/>
      </c>
      <c r="U12">
        <f>HYPERLINK("https://klasma.github.io/Logging_2560/knärot/A 56243-2024 karta knärot.png", "A 56243-2024")</f>
        <v/>
      </c>
      <c r="V12">
        <f>HYPERLINK("https://klasma.github.io/Logging_2560/klagomål/A 56243-2024 FSC-klagomål.docx", "A 56243-2024")</f>
        <v/>
      </c>
      <c r="W12">
        <f>HYPERLINK("https://klasma.github.io/Logging_2560/klagomålsmail/A 56243-2024 FSC-klagomål mail.docx", "A 56243-2024")</f>
        <v/>
      </c>
      <c r="X12">
        <f>HYPERLINK("https://klasma.github.io/Logging_2560/tillsyn/A 56243-2024 tillsynsbegäran.docx", "A 56243-2024")</f>
        <v/>
      </c>
      <c r="Y12">
        <f>HYPERLINK("https://klasma.github.io/Logging_2560/tillsynsmail/A 56243-2024 tillsynsbegäran mail.docx", "A 56243-2024")</f>
        <v/>
      </c>
      <c r="Z12">
        <f>HYPERLINK("https://klasma.github.io/Logging_2560/fåglar/A 56243-2024 prioriterade fågelarter.docx", "A 56243-2024")</f>
        <v/>
      </c>
    </row>
    <row r="13" ht="15" customHeight="1">
      <c r="A13" t="inlineStr">
        <is>
          <t>A 26733-2024</t>
        </is>
      </c>
      <c r="B13" s="1" t="n">
        <v>45470</v>
      </c>
      <c r="C13" s="1" t="n">
        <v>45976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7.5</v>
      </c>
      <c r="H13" t="n">
        <v>1</v>
      </c>
      <c r="I13" t="n">
        <v>2</v>
      </c>
      <c r="J13" t="n">
        <v>7</v>
      </c>
      <c r="K13" t="n">
        <v>3</v>
      </c>
      <c r="L13" t="n">
        <v>0</v>
      </c>
      <c r="M13" t="n">
        <v>0</v>
      </c>
      <c r="N13" t="n">
        <v>0</v>
      </c>
      <c r="O13" t="n">
        <v>10</v>
      </c>
      <c r="P13" t="n">
        <v>3</v>
      </c>
      <c r="Q13" t="n">
        <v>13</v>
      </c>
      <c r="R13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3">
        <f>HYPERLINK("https://klasma.github.io/Logging_2560/artfynd/A 26733-2024 artfynd.xlsx", "A 26733-2024")</f>
        <v/>
      </c>
      <c r="T13">
        <f>HYPERLINK("https://klasma.github.io/Logging_2560/kartor/A 26733-2024 karta.png", "A 26733-2024")</f>
        <v/>
      </c>
      <c r="V13">
        <f>HYPERLINK("https://klasma.github.io/Logging_2560/klagomål/A 26733-2024 FSC-klagomål.docx", "A 26733-2024")</f>
        <v/>
      </c>
      <c r="W13">
        <f>HYPERLINK("https://klasma.github.io/Logging_2560/klagomålsmail/A 26733-2024 FSC-klagomål mail.docx", "A 26733-2024")</f>
        <v/>
      </c>
      <c r="X13">
        <f>HYPERLINK("https://klasma.github.io/Logging_2560/tillsyn/A 26733-2024 tillsynsbegäran.docx", "A 26733-2024")</f>
        <v/>
      </c>
      <c r="Y13">
        <f>HYPERLINK("https://klasma.github.io/Logging_2560/tillsynsmail/A 26733-2024 tillsynsbegäran mail.docx", "A 26733-2024")</f>
        <v/>
      </c>
      <c r="Z13">
        <f>HYPERLINK("https://klasma.github.io/Logging_2560/fåglar/A 26733-2024 prioriterade fågelarter.docx", "A 26733-2024")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45976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45427-2025</t>
        </is>
      </c>
      <c r="B15" s="1" t="n">
        <v>45922</v>
      </c>
      <c r="C15" s="1" t="n">
        <v>45976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2.5</v>
      </c>
      <c r="H15" t="n">
        <v>3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Knärot
Gammelgransskål
Garnlav
Knottrig blåslav
Lunglav
Nordtagging
Tallticka
Tretåig hackspett
Ullticka
Stuplav
Fläcknycklar</t>
        </is>
      </c>
      <c r="S15">
        <f>HYPERLINK("https://klasma.github.io/Logging_2560/artfynd/A 45427-2025 artfynd.xlsx", "A 45427-2025")</f>
        <v/>
      </c>
      <c r="T15">
        <f>HYPERLINK("https://klasma.github.io/Logging_2560/kartor/A 45427-2025 karta.png", "A 45427-2025")</f>
        <v/>
      </c>
      <c r="U15">
        <f>HYPERLINK("https://klasma.github.io/Logging_2560/knärot/A 45427-2025 karta knärot.png", "A 45427-2025")</f>
        <v/>
      </c>
      <c r="V15">
        <f>HYPERLINK("https://klasma.github.io/Logging_2560/klagomål/A 45427-2025 FSC-klagomål.docx", "A 45427-2025")</f>
        <v/>
      </c>
      <c r="W15">
        <f>HYPERLINK("https://klasma.github.io/Logging_2560/klagomålsmail/A 45427-2025 FSC-klagomål mail.docx", "A 45427-2025")</f>
        <v/>
      </c>
      <c r="X15">
        <f>HYPERLINK("https://klasma.github.io/Logging_2560/tillsyn/A 45427-2025 tillsynsbegäran.docx", "A 45427-2025")</f>
        <v/>
      </c>
      <c r="Y15">
        <f>HYPERLINK("https://klasma.github.io/Logging_2560/tillsynsmail/A 45427-2025 tillsynsbegäran mail.docx", "A 45427-2025")</f>
        <v/>
      </c>
      <c r="Z15">
        <f>HYPERLINK("https://klasma.github.io/Logging_2560/fåglar/A 45427-2025 prioriterade fågelarter.docx", "A 45427-2025")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45976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4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Knärot
Fjällvråk
Gammelgransskål
Garnlav
Harticka
Knottrig blåslav
Spillkråka
Vitgrynig nållav
Källpraktmossa
Kungsfågel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49930-2025</t>
        </is>
      </c>
      <c r="B17" s="1" t="n">
        <v>45940.65670138889</v>
      </c>
      <c r="C17" s="1" t="n">
        <v>45976</v>
      </c>
      <c r="D17" t="inlineStr">
        <is>
          <t>NORRBOTTENS LÄN</t>
        </is>
      </c>
      <c r="E17" t="inlineStr">
        <is>
          <t>ÄLVSBYN</t>
        </is>
      </c>
      <c r="F17" t="inlineStr">
        <is>
          <t>SCA</t>
        </is>
      </c>
      <c r="G17" t="n">
        <v>4.6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Lammticka
Gammelgransskål
Garnlav
Granticka
Järpe
Vaddporing
Vedticka
Revlummer</t>
        </is>
      </c>
      <c r="S17">
        <f>HYPERLINK("https://klasma.github.io/Logging_2560/artfynd/A 49930-2025 artfynd.xlsx", "A 49930-2025")</f>
        <v/>
      </c>
      <c r="T17">
        <f>HYPERLINK("https://klasma.github.io/Logging_2560/kartor/A 49930-2025 karta.png", "A 49930-2025")</f>
        <v/>
      </c>
      <c r="U17">
        <f>HYPERLINK("https://klasma.github.io/Logging_2560/knärot/A 49930-2025 karta knärot.png", "A 49930-2025")</f>
        <v/>
      </c>
      <c r="V17">
        <f>HYPERLINK("https://klasma.github.io/Logging_2560/klagomål/A 49930-2025 FSC-klagomål.docx", "A 49930-2025")</f>
        <v/>
      </c>
      <c r="W17">
        <f>HYPERLINK("https://klasma.github.io/Logging_2560/klagomålsmail/A 49930-2025 FSC-klagomål mail.docx", "A 49930-2025")</f>
        <v/>
      </c>
      <c r="X17">
        <f>HYPERLINK("https://klasma.github.io/Logging_2560/tillsyn/A 49930-2025 tillsynsbegäran.docx", "A 49930-2025")</f>
        <v/>
      </c>
      <c r="Y17">
        <f>HYPERLINK("https://klasma.github.io/Logging_2560/tillsynsmail/A 49930-2025 tillsynsbegäran mail.docx", "A 49930-2025")</f>
        <v/>
      </c>
      <c r="Z17">
        <f>HYPERLINK("https://klasma.github.io/Logging_2560/fåglar/A 49930-2025 prioriterade fågelarter.docx", "A 49930-2025")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45976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45976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26731-2024</t>
        </is>
      </c>
      <c r="B20" s="1" t="n">
        <v>45470</v>
      </c>
      <c r="C20" s="1" t="n">
        <v>45976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1.4</v>
      </c>
      <c r="H20" t="n">
        <v>0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Lakritsmusseron
Tajgataggsvamp
Orange taggsvamp
Svartvit taggsvamp
Tallriska
Dropptaggsvamp
Skarp dropptaggsvamp</t>
        </is>
      </c>
      <c r="S20">
        <f>HYPERLINK("https://klasma.github.io/Logging_2560/artfynd/A 26731-2024 artfynd.xlsx", "A 26731-2024")</f>
        <v/>
      </c>
      <c r="T20">
        <f>HYPERLINK("https://klasma.github.io/Logging_2560/kartor/A 26731-2024 karta.png", "A 26731-2024")</f>
        <v/>
      </c>
      <c r="V20">
        <f>HYPERLINK("https://klasma.github.io/Logging_2560/klagomål/A 26731-2024 FSC-klagomål.docx", "A 26731-2024")</f>
        <v/>
      </c>
      <c r="W20">
        <f>HYPERLINK("https://klasma.github.io/Logging_2560/klagomålsmail/A 26731-2024 FSC-klagomål mail.docx", "A 26731-2024")</f>
        <v/>
      </c>
      <c r="X20">
        <f>HYPERLINK("https://klasma.github.io/Logging_2560/tillsyn/A 26731-2024 tillsynsbegäran.docx", "A 26731-2024")</f>
        <v/>
      </c>
      <c r="Y20">
        <f>HYPERLINK("https://klasma.github.io/Logging_2560/tillsynsmail/A 26731-2024 tillsynsbegäran mail.docx", "A 26731-2024")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45976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45412-2025</t>
        </is>
      </c>
      <c r="B22" s="1" t="n">
        <v>45922.44047453703</v>
      </c>
      <c r="C22" s="1" t="n">
        <v>45976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3.6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Vaddporing
Vedskivlav
Dropptaggsvamp
Nästlav</t>
        </is>
      </c>
      <c r="S22">
        <f>HYPERLINK("https://klasma.github.io/Logging_2560/artfynd/A 45412-2025 artfynd.xlsx", "A 45412-2025")</f>
        <v/>
      </c>
      <c r="T22">
        <f>HYPERLINK("https://klasma.github.io/Logging_2560/kartor/A 45412-2025 karta.png", "A 45412-2025")</f>
        <v/>
      </c>
      <c r="U22">
        <f>HYPERLINK("https://klasma.github.io/Logging_2560/knärot/A 45412-2025 karta knärot.png", "A 45412-2025")</f>
        <v/>
      </c>
      <c r="V22">
        <f>HYPERLINK("https://klasma.github.io/Logging_2560/klagomål/A 45412-2025 FSC-klagomål.docx", "A 45412-2025")</f>
        <v/>
      </c>
      <c r="W22">
        <f>HYPERLINK("https://klasma.github.io/Logging_2560/klagomålsmail/A 45412-2025 FSC-klagomål mail.docx", "A 45412-2025")</f>
        <v/>
      </c>
      <c r="X22">
        <f>HYPERLINK("https://klasma.github.io/Logging_2560/tillsyn/A 45412-2025 tillsynsbegäran.docx", "A 45412-2025")</f>
        <v/>
      </c>
      <c r="Y22">
        <f>HYPERLINK("https://klasma.github.io/Logging_2560/tillsynsmail/A 45412-2025 tillsynsbegäran mail.docx", "A 45412-2025")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45976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45976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45976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45976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45976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45976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45976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45976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45976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45976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45976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53641-2025</t>
        </is>
      </c>
      <c r="B34" s="1" t="n">
        <v>45960.51100694444</v>
      </c>
      <c r="C34" s="1" t="n">
        <v>45976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45976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34304-2025</t>
        </is>
      </c>
      <c r="B36" s="1" t="n">
        <v>45846.35324074074</v>
      </c>
      <c r="C36" s="1" t="n">
        <v>45976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35.7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Fläcknycklar
Revlummer</t>
        </is>
      </c>
      <c r="S36">
        <f>HYPERLINK("https://klasma.github.io/Logging_2560/artfynd/A 34304-2025 artfynd.xlsx", "A 34304-2025")</f>
        <v/>
      </c>
      <c r="T36">
        <f>HYPERLINK("https://klasma.github.io/Logging_2560/kartor/A 34304-2025 karta.png", "A 34304-2025")</f>
        <v/>
      </c>
      <c r="V36">
        <f>HYPERLINK("https://klasma.github.io/Logging_2560/klagomål/A 34304-2025 FSC-klagomål.docx", "A 34304-2025")</f>
        <v/>
      </c>
      <c r="W36">
        <f>HYPERLINK("https://klasma.github.io/Logging_2560/klagomålsmail/A 34304-2025 FSC-klagomål mail.docx", "A 34304-2025")</f>
        <v/>
      </c>
      <c r="X36">
        <f>HYPERLINK("https://klasma.github.io/Logging_2560/tillsyn/A 34304-2025 tillsynsbegäran.docx", "A 34304-2025")</f>
        <v/>
      </c>
      <c r="Y36">
        <f>HYPERLINK("https://klasma.github.io/Logging_2560/tillsynsmail/A 34304-2025 tillsynsbegäran mail.docx", "A 34304-2025")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45976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45976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45976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45976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45976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55038-2024</t>
        </is>
      </c>
      <c r="B42" s="1" t="n">
        <v>45621</v>
      </c>
      <c r="C42" s="1" t="n">
        <v>45976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55038-2024 artfynd.xlsx", "A 55038-2024")</f>
        <v/>
      </c>
      <c r="T42">
        <f>HYPERLINK("https://klasma.github.io/Logging_2560/kartor/A 55038-2024 karta.png", "A 55038-2024")</f>
        <v/>
      </c>
      <c r="V42">
        <f>HYPERLINK("https://klasma.github.io/Logging_2560/klagomål/A 55038-2024 FSC-klagomål.docx", "A 55038-2024")</f>
        <v/>
      </c>
      <c r="W42">
        <f>HYPERLINK("https://klasma.github.io/Logging_2560/klagomålsmail/A 55038-2024 FSC-klagomål mail.docx", "A 55038-2024")</f>
        <v/>
      </c>
      <c r="X42">
        <f>HYPERLINK("https://klasma.github.io/Logging_2560/tillsyn/A 55038-2024 tillsynsbegäran.docx", "A 55038-2024")</f>
        <v/>
      </c>
      <c r="Y42">
        <f>HYPERLINK("https://klasma.github.io/Logging_2560/tillsynsmail/A 55038-2024 tillsynsbegäran mail.docx", "A 55038-2024")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45976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45976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51703-2025</t>
        </is>
      </c>
      <c r="B45" s="1" t="n">
        <v>45951</v>
      </c>
      <c r="C45" s="1" t="n">
        <v>45976</v>
      </c>
      <c r="D45" t="inlineStr">
        <is>
          <t>NORRBOTTENS LÄN</t>
        </is>
      </c>
      <c r="E45" t="inlineStr">
        <is>
          <t>ÄLVSBYN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Mörk kolflarnlav</t>
        </is>
      </c>
      <c r="S45">
        <f>HYPERLINK("https://klasma.github.io/Logging_2560/artfynd/A 51703-2025 artfynd.xlsx", "A 51703-2025")</f>
        <v/>
      </c>
      <c r="T45">
        <f>HYPERLINK("https://klasma.github.io/Logging_2560/kartor/A 51703-2025 karta.png", "A 51703-2025")</f>
        <v/>
      </c>
      <c r="V45">
        <f>HYPERLINK("https://klasma.github.io/Logging_2560/klagomål/A 51703-2025 FSC-klagomål.docx", "A 51703-2025")</f>
        <v/>
      </c>
      <c r="W45">
        <f>HYPERLINK("https://klasma.github.io/Logging_2560/klagomålsmail/A 51703-2025 FSC-klagomål mail.docx", "A 51703-2025")</f>
        <v/>
      </c>
      <c r="X45">
        <f>HYPERLINK("https://klasma.github.io/Logging_2560/tillsyn/A 51703-2025 tillsynsbegäran.docx", "A 51703-2025")</f>
        <v/>
      </c>
      <c r="Y45">
        <f>HYPERLINK("https://klasma.github.io/Logging_2560/tillsynsmail/A 51703-2025 tillsynsbegäran mail.docx", "A 51703-2025")</f>
        <v/>
      </c>
    </row>
    <row r="46" ht="15" customHeight="1">
      <c r="A46" t="inlineStr">
        <is>
          <t>A 21856-2025</t>
        </is>
      </c>
      <c r="B46" s="1" t="n">
        <v>45784</v>
      </c>
      <c r="C46" s="1" t="n">
        <v>45976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26.9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Plattlummer
Tibast</t>
        </is>
      </c>
      <c r="S46">
        <f>HYPERLINK("https://klasma.github.io/Logging_2560/artfynd/A 21856-2025 artfynd.xlsx", "A 21856-2025")</f>
        <v/>
      </c>
      <c r="T46">
        <f>HYPERLINK("https://klasma.github.io/Logging_2560/kartor/A 21856-2025 karta.png", "A 21856-2025")</f>
        <v/>
      </c>
      <c r="V46">
        <f>HYPERLINK("https://klasma.github.io/Logging_2560/klagomål/A 21856-2025 FSC-klagomål.docx", "A 21856-2025")</f>
        <v/>
      </c>
      <c r="W46">
        <f>HYPERLINK("https://klasma.github.io/Logging_2560/klagomålsmail/A 21856-2025 FSC-klagomål mail.docx", "A 21856-2025")</f>
        <v/>
      </c>
      <c r="X46">
        <f>HYPERLINK("https://klasma.github.io/Logging_2560/tillsyn/A 21856-2025 tillsynsbegäran.docx", "A 21856-2025")</f>
        <v/>
      </c>
      <c r="Y46">
        <f>HYPERLINK("https://klasma.github.io/Logging_2560/tillsynsmail/A 21856-2025 tillsynsbegäran mail.docx", "A 21856-2025")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45976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45976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45976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28555-2025</t>
        </is>
      </c>
      <c r="B50" s="1" t="n">
        <v>45819</v>
      </c>
      <c r="C50" s="1" t="n">
        <v>45976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40.5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Lunglav</t>
        </is>
      </c>
      <c r="S50">
        <f>HYPERLINK("https://klasma.github.io/Logging_2560/artfynd/A 28555-2025 artfynd.xlsx", "A 28555-2025")</f>
        <v/>
      </c>
      <c r="T50">
        <f>HYPERLINK("https://klasma.github.io/Logging_2560/kartor/A 28555-2025 karta.png", "A 28555-2025")</f>
        <v/>
      </c>
      <c r="V50">
        <f>HYPERLINK("https://klasma.github.io/Logging_2560/klagomål/A 28555-2025 FSC-klagomål.docx", "A 28555-2025")</f>
        <v/>
      </c>
      <c r="W50">
        <f>HYPERLINK("https://klasma.github.io/Logging_2560/klagomålsmail/A 28555-2025 FSC-klagomål mail.docx", "A 28555-2025")</f>
        <v/>
      </c>
      <c r="X50">
        <f>HYPERLINK("https://klasma.github.io/Logging_2560/tillsyn/A 28555-2025 tillsynsbegäran.docx", "A 28555-2025")</f>
        <v/>
      </c>
      <c r="Y50">
        <f>HYPERLINK("https://klasma.github.io/Logging_2560/tillsynsmail/A 28555-2025 tillsynsbegäran mail.docx", "A 28555-2025")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45976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23134-2024</t>
        </is>
      </c>
      <c r="B52" s="1" t="n">
        <v>45450</v>
      </c>
      <c r="C52" s="1" t="n">
        <v>45976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27.4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23134-2024 artfynd.xlsx", "A 23134-2024")</f>
        <v/>
      </c>
      <c r="T52">
        <f>HYPERLINK("https://klasma.github.io/Logging_2560/kartor/A 23134-2024 karta.png", "A 23134-2024")</f>
        <v/>
      </c>
      <c r="V52">
        <f>HYPERLINK("https://klasma.github.io/Logging_2560/klagomål/A 23134-2024 FSC-klagomål.docx", "A 23134-2024")</f>
        <v/>
      </c>
      <c r="W52">
        <f>HYPERLINK("https://klasma.github.io/Logging_2560/klagomålsmail/A 23134-2024 FSC-klagomål mail.docx", "A 23134-2024")</f>
        <v/>
      </c>
      <c r="X52">
        <f>HYPERLINK("https://klasma.github.io/Logging_2560/tillsyn/A 23134-2024 tillsynsbegäran.docx", "A 23134-2024")</f>
        <v/>
      </c>
      <c r="Y52">
        <f>HYPERLINK("https://klasma.github.io/Logging_2560/tillsynsmail/A 23134-2024 tillsynsbegäran mail.docx", "A 23134-2024")</f>
        <v/>
      </c>
    </row>
    <row r="53" ht="15" customHeight="1">
      <c r="A53" t="inlineStr">
        <is>
          <t>A 38620-2022</t>
        </is>
      </c>
      <c r="B53" s="1" t="n">
        <v>44813.61173611111</v>
      </c>
      <c r="C53" s="1" t="n">
        <v>45976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HYPERLINK("https://klasma.github.io/Logging_2560/artfynd/A 38620-2022 artfynd.xlsx", "A 38620-2022")</f>
        <v/>
      </c>
      <c r="T53">
        <f>HYPERLINK("https://klasma.github.io/Logging_2560/kartor/A 38620-2022 karta.png", "A 38620-2022")</f>
        <v/>
      </c>
      <c r="V53">
        <f>HYPERLINK("https://klasma.github.io/Logging_2560/klagomål/A 38620-2022 FSC-klagomål.docx", "A 38620-2022")</f>
        <v/>
      </c>
      <c r="W53">
        <f>HYPERLINK("https://klasma.github.io/Logging_2560/klagomålsmail/A 38620-2022 FSC-klagomål mail.docx", "A 38620-2022")</f>
        <v/>
      </c>
      <c r="X53">
        <f>HYPERLINK("https://klasma.github.io/Logging_2560/tillsyn/A 38620-2022 tillsynsbegäran.docx", "A 38620-2022")</f>
        <v/>
      </c>
      <c r="Y53">
        <f>HYPERLINK("https://klasma.github.io/Logging_2560/tillsynsmail/A 38620-2022 tillsynsbegäran mail.docx", "A 38620-2022")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45976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45976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56551-2024</t>
        </is>
      </c>
      <c r="B56" s="1" t="n">
        <v>45625</v>
      </c>
      <c r="C56" s="1" t="n">
        <v>45976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HYPERLINK("https://klasma.github.io/Logging_2560/artfynd/A 56551-2024 artfynd.xlsx", "A 56551-2024")</f>
        <v/>
      </c>
      <c r="T56">
        <f>HYPERLINK("https://klasma.github.io/Logging_2560/kartor/A 56551-2024 karta.png", "A 56551-2024")</f>
        <v/>
      </c>
      <c r="V56">
        <f>HYPERLINK("https://klasma.github.io/Logging_2560/klagomål/A 56551-2024 FSC-klagomål.docx", "A 56551-2024")</f>
        <v/>
      </c>
      <c r="W56">
        <f>HYPERLINK("https://klasma.github.io/Logging_2560/klagomålsmail/A 56551-2024 FSC-klagomål mail.docx", "A 56551-2024")</f>
        <v/>
      </c>
      <c r="X56">
        <f>HYPERLINK("https://klasma.github.io/Logging_2560/tillsyn/A 56551-2024 tillsynsbegäran.docx", "A 56551-2024")</f>
        <v/>
      </c>
      <c r="Y56">
        <f>HYPERLINK("https://klasma.github.io/Logging_2560/tillsynsmail/A 56551-2024 tillsynsbegäran mail.docx", "A 56551-2024")</f>
        <v/>
      </c>
    </row>
    <row r="57" ht="15" customHeight="1">
      <c r="A57" t="inlineStr">
        <is>
          <t>A 37532-2025</t>
        </is>
      </c>
      <c r="B57" s="1" t="n">
        <v>45878</v>
      </c>
      <c r="C57" s="1" t="n">
        <v>45976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HYPERLINK("https://klasma.github.io/Logging_2560/artfynd/A 37532-2025 artfynd.xlsx", "A 37532-2025")</f>
        <v/>
      </c>
      <c r="T57">
        <f>HYPERLINK("https://klasma.github.io/Logging_2560/kartor/A 37532-2025 karta.png", "A 37532-2025")</f>
        <v/>
      </c>
      <c r="V57">
        <f>HYPERLINK("https://klasma.github.io/Logging_2560/klagomål/A 37532-2025 FSC-klagomål.docx", "A 37532-2025")</f>
        <v/>
      </c>
      <c r="W57">
        <f>HYPERLINK("https://klasma.github.io/Logging_2560/klagomålsmail/A 37532-2025 FSC-klagomål mail.docx", "A 37532-2025")</f>
        <v/>
      </c>
      <c r="X57">
        <f>HYPERLINK("https://klasma.github.io/Logging_2560/tillsyn/A 37532-2025 tillsynsbegäran.docx", "A 37532-2025")</f>
        <v/>
      </c>
      <c r="Y57">
        <f>HYPERLINK("https://klasma.github.io/Logging_2560/tillsynsmail/A 37532-2025 tillsynsbegäran mail.docx", "A 37532-2025")</f>
        <v/>
      </c>
    </row>
    <row r="58" ht="15" customHeight="1">
      <c r="A58" t="inlineStr">
        <is>
          <t>A 42554-2024</t>
        </is>
      </c>
      <c r="B58" s="1" t="n">
        <v>45565</v>
      </c>
      <c r="C58" s="1" t="n">
        <v>45976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HYPERLINK("https://klasma.github.io/Logging_2560/artfynd/A 42554-2024 artfynd.xlsx", "A 42554-2024")</f>
        <v/>
      </c>
      <c r="T58">
        <f>HYPERLINK("https://klasma.github.io/Logging_2560/kartor/A 42554-2024 karta.png", "A 42554-2024")</f>
        <v/>
      </c>
      <c r="V58">
        <f>HYPERLINK("https://klasma.github.io/Logging_2560/klagomål/A 42554-2024 FSC-klagomål.docx", "A 42554-2024")</f>
        <v/>
      </c>
      <c r="W58">
        <f>HYPERLINK("https://klasma.github.io/Logging_2560/klagomålsmail/A 42554-2024 FSC-klagomål mail.docx", "A 42554-2024")</f>
        <v/>
      </c>
      <c r="X58">
        <f>HYPERLINK("https://klasma.github.io/Logging_2560/tillsyn/A 42554-2024 tillsynsbegäran.docx", "A 42554-2024")</f>
        <v/>
      </c>
      <c r="Y58">
        <f>HYPERLINK("https://klasma.github.io/Logging_2560/tillsynsmail/A 42554-2024 tillsynsbegäran mail.docx", "A 42554-2024")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45976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45976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49400-2025</t>
        </is>
      </c>
      <c r="B61" s="1" t="n">
        <v>45938</v>
      </c>
      <c r="C61" s="1" t="n">
        <v>45976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49400-2025 artfynd.xlsx", "A 49400-2025")</f>
        <v/>
      </c>
      <c r="T61">
        <f>HYPERLINK("https://klasma.github.io/Logging_2560/kartor/A 49400-2025 karta.png", "A 49400-2025")</f>
        <v/>
      </c>
      <c r="V61">
        <f>HYPERLINK("https://klasma.github.io/Logging_2560/klagomål/A 49400-2025 FSC-klagomål.docx", "A 49400-2025")</f>
        <v/>
      </c>
      <c r="W61">
        <f>HYPERLINK("https://klasma.github.io/Logging_2560/klagomålsmail/A 49400-2025 FSC-klagomål mail.docx", "A 49400-2025")</f>
        <v/>
      </c>
      <c r="X61">
        <f>HYPERLINK("https://klasma.github.io/Logging_2560/tillsyn/A 49400-2025 tillsynsbegäran.docx", "A 49400-2025")</f>
        <v/>
      </c>
      <c r="Y61">
        <f>HYPERLINK("https://klasma.github.io/Logging_2560/tillsynsmail/A 49400-2025 tillsynsbegäran mail.docx", "A 49400-2025")</f>
        <v/>
      </c>
    </row>
    <row r="62" ht="15" customHeight="1">
      <c r="A62" t="inlineStr">
        <is>
          <t>A 50429-2025</t>
        </is>
      </c>
      <c r="B62" s="1" t="n">
        <v>45944</v>
      </c>
      <c r="C62" s="1" t="n">
        <v>45976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HYPERLINK("https://klasma.github.io/Logging_2560/artfynd/A 50429-2025 artfynd.xlsx", "A 50429-2025")</f>
        <v/>
      </c>
      <c r="T62">
        <f>HYPERLINK("https://klasma.github.io/Logging_2560/kartor/A 50429-2025 karta.png", "A 50429-2025")</f>
        <v/>
      </c>
      <c r="V62">
        <f>HYPERLINK("https://klasma.github.io/Logging_2560/klagomål/A 50429-2025 FSC-klagomål.docx", "A 50429-2025")</f>
        <v/>
      </c>
      <c r="W62">
        <f>HYPERLINK("https://klasma.github.io/Logging_2560/klagomålsmail/A 50429-2025 FSC-klagomål mail.docx", "A 50429-2025")</f>
        <v/>
      </c>
      <c r="X62">
        <f>HYPERLINK("https://klasma.github.io/Logging_2560/tillsyn/A 50429-2025 tillsynsbegäran.docx", "A 50429-2025")</f>
        <v/>
      </c>
      <c r="Y62">
        <f>HYPERLINK("https://klasma.github.io/Logging_2560/tillsynsmail/A 50429-2025 tillsynsbegäran mail.docx", "A 50429-2025")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45976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43005-2021</t>
        </is>
      </c>
      <c r="B64" s="1" t="n">
        <v>44431</v>
      </c>
      <c r="C64" s="1" t="n">
        <v>45976</v>
      </c>
      <c r="D64" t="inlineStr">
        <is>
          <t>NORRBOTTENS LÄN</t>
        </is>
      </c>
      <c r="E64" t="inlineStr">
        <is>
          <t>ÄLVSBYN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HYPERLINK("https://klasma.github.io/Logging_2560/artfynd/A 43005-2021 artfynd.xlsx", "A 43005-2021")</f>
        <v/>
      </c>
      <c r="T64">
        <f>HYPERLINK("https://klasma.github.io/Logging_2560/kartor/A 43005-2021 karta.png", "A 43005-2021")</f>
        <v/>
      </c>
      <c r="V64">
        <f>HYPERLINK("https://klasma.github.io/Logging_2560/klagomål/A 43005-2021 FSC-klagomål.docx", "A 43005-2021")</f>
        <v/>
      </c>
      <c r="W64">
        <f>HYPERLINK("https://klasma.github.io/Logging_2560/klagomålsmail/A 43005-2021 FSC-klagomål mail.docx", "A 43005-2021")</f>
        <v/>
      </c>
      <c r="X64">
        <f>HYPERLINK("https://klasma.github.io/Logging_2560/tillsyn/A 43005-2021 tillsynsbegäran.docx", "A 43005-2021")</f>
        <v/>
      </c>
      <c r="Y64">
        <f>HYPERLINK("https://klasma.github.io/Logging_2560/tillsynsmail/A 43005-2021 tillsynsbegäran mail.docx", "A 43005-2021")</f>
        <v/>
      </c>
    </row>
    <row r="65" ht="15" customHeight="1">
      <c r="A65" t="inlineStr">
        <is>
          <t>A 52964-2025</t>
        </is>
      </c>
      <c r="B65" s="1" t="n">
        <v>45957.66637731482</v>
      </c>
      <c r="C65" s="1" t="n">
        <v>45976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52964-2025 artfynd.xlsx", "A 52964-2025")</f>
        <v/>
      </c>
      <c r="T65">
        <f>HYPERLINK("https://klasma.github.io/Logging_2560/kartor/A 52964-2025 karta.png", "A 52964-2025")</f>
        <v/>
      </c>
      <c r="V65">
        <f>HYPERLINK("https://klasma.github.io/Logging_2560/klagomål/A 52964-2025 FSC-klagomål.docx", "A 52964-2025")</f>
        <v/>
      </c>
      <c r="W65">
        <f>HYPERLINK("https://klasma.github.io/Logging_2560/klagomålsmail/A 52964-2025 FSC-klagomål mail.docx", "A 52964-2025")</f>
        <v/>
      </c>
      <c r="X65">
        <f>HYPERLINK("https://klasma.github.io/Logging_2560/tillsyn/A 52964-2025 tillsynsbegäran.docx", "A 52964-2025")</f>
        <v/>
      </c>
      <c r="Y65">
        <f>HYPERLINK("https://klasma.github.io/Logging_2560/tillsynsmail/A 52964-2025 tillsynsbegäran mail.docx", "A 52964-2025")</f>
        <v/>
      </c>
    </row>
    <row r="66" ht="15" customHeight="1">
      <c r="A66" t="inlineStr">
        <is>
          <t>A 52159-2025</t>
        </is>
      </c>
      <c r="B66" s="1" t="n">
        <v>45953</v>
      </c>
      <c r="C66" s="1" t="n">
        <v>45976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39.7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52159-2025 artfynd.xlsx", "A 52159-2025")</f>
        <v/>
      </c>
      <c r="T66">
        <f>HYPERLINK("https://klasma.github.io/Logging_2560/kartor/A 52159-2025 karta.png", "A 52159-2025")</f>
        <v/>
      </c>
      <c r="V66">
        <f>HYPERLINK("https://klasma.github.io/Logging_2560/klagomål/A 52159-2025 FSC-klagomål.docx", "A 52159-2025")</f>
        <v/>
      </c>
      <c r="W66">
        <f>HYPERLINK("https://klasma.github.io/Logging_2560/klagomålsmail/A 52159-2025 FSC-klagomål mail.docx", "A 52159-2025")</f>
        <v/>
      </c>
      <c r="X66">
        <f>HYPERLINK("https://klasma.github.io/Logging_2560/tillsyn/A 52159-2025 tillsynsbegäran.docx", "A 52159-2025")</f>
        <v/>
      </c>
      <c r="Y66">
        <f>HYPERLINK("https://klasma.github.io/Logging_2560/tillsynsmail/A 52159-2025 tillsynsbegäran mail.docx", "A 52159-2025")</f>
        <v/>
      </c>
    </row>
    <row r="67" ht="15" customHeight="1">
      <c r="A67" t="inlineStr">
        <is>
          <t>A 52266-2025</t>
        </is>
      </c>
      <c r="B67" s="1" t="n">
        <v>45953</v>
      </c>
      <c r="C67" s="1" t="n">
        <v>45976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HYPERLINK("https://klasma.github.io/Logging_2560/artfynd/A 52266-2025 artfynd.xlsx", "A 52266-2025")</f>
        <v/>
      </c>
      <c r="T67">
        <f>HYPERLINK("https://klasma.github.io/Logging_2560/kartor/A 52266-2025 karta.png", "A 52266-2025")</f>
        <v/>
      </c>
      <c r="V67">
        <f>HYPERLINK("https://klasma.github.io/Logging_2560/klagomål/A 52266-2025 FSC-klagomål.docx", "A 52266-2025")</f>
        <v/>
      </c>
      <c r="W67">
        <f>HYPERLINK("https://klasma.github.io/Logging_2560/klagomålsmail/A 52266-2025 FSC-klagomål mail.docx", "A 52266-2025")</f>
        <v/>
      </c>
      <c r="X67">
        <f>HYPERLINK("https://klasma.github.io/Logging_2560/tillsyn/A 52266-2025 tillsynsbegäran.docx", "A 52266-2025")</f>
        <v/>
      </c>
      <c r="Y67">
        <f>HYPERLINK("https://klasma.github.io/Logging_2560/tillsynsmail/A 52266-2025 tillsynsbegäran mail.docx", "A 52266-2025")</f>
        <v/>
      </c>
    </row>
    <row r="68" ht="15" customHeight="1">
      <c r="A68" t="inlineStr">
        <is>
          <t>A 52885-2025</t>
        </is>
      </c>
      <c r="B68" s="1" t="n">
        <v>45957</v>
      </c>
      <c r="C68" s="1" t="n">
        <v>45976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HYPERLINK("https://klasma.github.io/Logging_2560/artfynd/A 52885-2025 artfynd.xlsx", "A 52885-2025")</f>
        <v/>
      </c>
      <c r="T68">
        <f>HYPERLINK("https://klasma.github.io/Logging_2560/kartor/A 52885-2025 karta.png", "A 52885-2025")</f>
        <v/>
      </c>
      <c r="V68">
        <f>HYPERLINK("https://klasma.github.io/Logging_2560/klagomål/A 52885-2025 FSC-klagomål.docx", "A 52885-2025")</f>
        <v/>
      </c>
      <c r="W68">
        <f>HYPERLINK("https://klasma.github.io/Logging_2560/klagomålsmail/A 52885-2025 FSC-klagomål mail.docx", "A 52885-2025")</f>
        <v/>
      </c>
      <c r="X68">
        <f>HYPERLINK("https://klasma.github.io/Logging_2560/tillsyn/A 52885-2025 tillsynsbegäran.docx", "A 52885-2025")</f>
        <v/>
      </c>
      <c r="Y68">
        <f>HYPERLINK("https://klasma.github.io/Logging_2560/tillsynsmail/A 52885-2025 tillsynsbegäran mail.docx", "A 52885-2025")</f>
        <v/>
      </c>
    </row>
    <row r="69" ht="15" customHeight="1">
      <c r="A69" t="inlineStr">
        <is>
          <t>A 45397-2025</t>
        </is>
      </c>
      <c r="B69" s="1" t="n">
        <v>45922.42065972222</v>
      </c>
      <c r="C69" s="1" t="n">
        <v>45976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45397-2025 artfynd.xlsx", "A 45397-2025")</f>
        <v/>
      </c>
      <c r="T69">
        <f>HYPERLINK("https://klasma.github.io/Logging_2560/kartor/A 45397-2025 karta.png", "A 45397-2025")</f>
        <v/>
      </c>
      <c r="V69">
        <f>HYPERLINK("https://klasma.github.io/Logging_2560/klagomål/A 45397-2025 FSC-klagomål.docx", "A 45397-2025")</f>
        <v/>
      </c>
      <c r="W69">
        <f>HYPERLINK("https://klasma.github.io/Logging_2560/klagomålsmail/A 45397-2025 FSC-klagomål mail.docx", "A 45397-2025")</f>
        <v/>
      </c>
      <c r="X69">
        <f>HYPERLINK("https://klasma.github.io/Logging_2560/tillsyn/A 45397-2025 tillsynsbegäran.docx", "A 45397-2025")</f>
        <v/>
      </c>
      <c r="Y69">
        <f>HYPERLINK("https://klasma.github.io/Logging_2560/tillsynsmail/A 45397-2025 tillsynsbegäran mail.docx", "A 45397-2025")</f>
        <v/>
      </c>
    </row>
    <row r="70" ht="15" customHeight="1">
      <c r="A70" t="inlineStr">
        <is>
          <t>A 23790-2025</t>
        </is>
      </c>
      <c r="B70" s="1" t="n">
        <v>45793</v>
      </c>
      <c r="C70" s="1" t="n">
        <v>45976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23790-2025 artfynd.xlsx", "A 23790-2025")</f>
        <v/>
      </c>
      <c r="T70">
        <f>HYPERLINK("https://klasma.github.io/Logging_2560/kartor/A 23790-2025 karta.png", "A 23790-2025")</f>
        <v/>
      </c>
      <c r="V70">
        <f>HYPERLINK("https://klasma.github.io/Logging_2560/klagomål/A 23790-2025 FSC-klagomål.docx", "A 23790-2025")</f>
        <v/>
      </c>
      <c r="W70">
        <f>HYPERLINK("https://klasma.github.io/Logging_2560/klagomålsmail/A 23790-2025 FSC-klagomål mail.docx", "A 23790-2025")</f>
        <v/>
      </c>
      <c r="X70">
        <f>HYPERLINK("https://klasma.github.io/Logging_2560/tillsyn/A 23790-2025 tillsynsbegäran.docx", "A 23790-2025")</f>
        <v/>
      </c>
      <c r="Y70">
        <f>HYPERLINK("https://klasma.github.io/Logging_2560/tillsynsmail/A 23790-2025 tillsynsbegäran mail.docx", "A 23790-2025")</f>
        <v/>
      </c>
    </row>
    <row r="71" ht="15" customHeight="1">
      <c r="A71" t="inlineStr">
        <is>
          <t>A 45384-2025</t>
        </is>
      </c>
      <c r="B71" s="1" t="n">
        <v>45922.40668981482</v>
      </c>
      <c r="C71" s="1" t="n">
        <v>45976</v>
      </c>
      <c r="D71" t="inlineStr">
        <is>
          <t>NORRBOTTENS LÄN</t>
        </is>
      </c>
      <c r="E71" t="inlineStr">
        <is>
          <t>ÄLVSBYN</t>
        </is>
      </c>
      <c r="G71" t="n">
        <v>10.3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45384-2025 artfynd.xlsx", "A 45384-2025")</f>
        <v/>
      </c>
      <c r="T71">
        <f>HYPERLINK("https://klasma.github.io/Logging_2560/kartor/A 45384-2025 karta.png", "A 45384-2025")</f>
        <v/>
      </c>
      <c r="V71">
        <f>HYPERLINK("https://klasma.github.io/Logging_2560/klagomål/A 45384-2025 FSC-klagomål.docx", "A 45384-2025")</f>
        <v/>
      </c>
      <c r="W71">
        <f>HYPERLINK("https://klasma.github.io/Logging_2560/klagomålsmail/A 45384-2025 FSC-klagomål mail.docx", "A 45384-2025")</f>
        <v/>
      </c>
      <c r="X71">
        <f>HYPERLINK("https://klasma.github.io/Logging_2560/tillsyn/A 45384-2025 tillsynsbegäran.docx", "A 45384-2025")</f>
        <v/>
      </c>
      <c r="Y71">
        <f>HYPERLINK("https://klasma.github.io/Logging_2560/tillsynsmail/A 45384-2025 tillsynsbegäran mail.docx", "A 45384-2025")</f>
        <v/>
      </c>
    </row>
    <row r="72" ht="15" customHeight="1">
      <c r="A72" t="inlineStr">
        <is>
          <t>A 6275-2024</t>
        </is>
      </c>
      <c r="B72" s="1" t="n">
        <v>45337.95472222222</v>
      </c>
      <c r="C72" s="1" t="n">
        <v>45976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HYPERLINK("https://klasma.github.io/Logging_2560/artfynd/A 6275-2024 artfynd.xlsx", "A 6275-2024")</f>
        <v/>
      </c>
      <c r="T72">
        <f>HYPERLINK("https://klasma.github.io/Logging_2560/kartor/A 6275-2024 karta.png", "A 6275-2024")</f>
        <v/>
      </c>
      <c r="V72">
        <f>HYPERLINK("https://klasma.github.io/Logging_2560/klagomål/A 6275-2024 FSC-klagomål.docx", "A 6275-2024")</f>
        <v/>
      </c>
      <c r="W72">
        <f>HYPERLINK("https://klasma.github.io/Logging_2560/klagomålsmail/A 6275-2024 FSC-klagomål mail.docx", "A 6275-2024")</f>
        <v/>
      </c>
      <c r="X72">
        <f>HYPERLINK("https://klasma.github.io/Logging_2560/tillsyn/A 6275-2024 tillsynsbegäran.docx", "A 6275-2024")</f>
        <v/>
      </c>
      <c r="Y72">
        <f>HYPERLINK("https://klasma.github.io/Logging_2560/tillsynsmail/A 6275-2024 tillsynsbegäran mail.docx", "A 6275-2024")</f>
        <v/>
      </c>
    </row>
    <row r="73" ht="15" customHeight="1">
      <c r="A73" t="inlineStr">
        <is>
          <t>A 47079-2025</t>
        </is>
      </c>
      <c r="B73" s="1" t="n">
        <v>45929.63995370371</v>
      </c>
      <c r="C73" s="1" t="n">
        <v>45976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HYPERLINK("https://klasma.github.io/Logging_2560/artfynd/A 47079-2025 artfynd.xlsx", "A 47079-2025")</f>
        <v/>
      </c>
      <c r="T73">
        <f>HYPERLINK("https://klasma.github.io/Logging_2560/kartor/A 47079-2025 karta.png", "A 47079-2025")</f>
        <v/>
      </c>
      <c r="V73">
        <f>HYPERLINK("https://klasma.github.io/Logging_2560/klagomål/A 47079-2025 FSC-klagomål.docx", "A 47079-2025")</f>
        <v/>
      </c>
      <c r="W73">
        <f>HYPERLINK("https://klasma.github.io/Logging_2560/klagomålsmail/A 47079-2025 FSC-klagomål mail.docx", "A 47079-2025")</f>
        <v/>
      </c>
      <c r="X73">
        <f>HYPERLINK("https://klasma.github.io/Logging_2560/tillsyn/A 47079-2025 tillsynsbegäran.docx", "A 47079-2025")</f>
        <v/>
      </c>
      <c r="Y73">
        <f>HYPERLINK("https://klasma.github.io/Logging_2560/tillsynsmail/A 47079-2025 tillsynsbegäran mail.docx", "A 47079-2025")</f>
        <v/>
      </c>
    </row>
    <row r="74" ht="15" customHeight="1">
      <c r="A74" t="inlineStr">
        <is>
          <t>A 48105-2025</t>
        </is>
      </c>
      <c r="B74" s="1" t="n">
        <v>45933</v>
      </c>
      <c r="C74" s="1" t="n">
        <v>45976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Fläckporing</t>
        </is>
      </c>
      <c r="S74">
        <f>HYPERLINK("https://klasma.github.io/Logging_2560/artfynd/A 48105-2025 artfynd.xlsx", "A 48105-2025")</f>
        <v/>
      </c>
      <c r="T74">
        <f>HYPERLINK("https://klasma.github.io/Logging_2560/kartor/A 48105-2025 karta.png", "A 48105-2025")</f>
        <v/>
      </c>
      <c r="V74">
        <f>HYPERLINK("https://klasma.github.io/Logging_2560/klagomål/A 48105-2025 FSC-klagomål.docx", "A 48105-2025")</f>
        <v/>
      </c>
      <c r="W74">
        <f>HYPERLINK("https://klasma.github.io/Logging_2560/klagomålsmail/A 48105-2025 FSC-klagomål mail.docx", "A 48105-2025")</f>
        <v/>
      </c>
      <c r="X74">
        <f>HYPERLINK("https://klasma.github.io/Logging_2560/tillsyn/A 48105-2025 tillsynsbegäran.docx", "A 48105-2025")</f>
        <v/>
      </c>
      <c r="Y74">
        <f>HYPERLINK("https://klasma.github.io/Logging_2560/tillsynsmail/A 48105-2025 tillsynsbegäran mail.docx", "A 48105-2025")</f>
        <v/>
      </c>
    </row>
    <row r="75" ht="15" customHeight="1">
      <c r="A75" t="inlineStr">
        <is>
          <t>A 42680-2022</t>
        </is>
      </c>
      <c r="B75" s="1" t="n">
        <v>44832.34037037037</v>
      </c>
      <c r="C75" s="1" t="n">
        <v>45976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42680-2022 artfynd.xlsx", "A 42680-2022")</f>
        <v/>
      </c>
      <c r="T75">
        <f>HYPERLINK("https://klasma.github.io/Logging_2560/kartor/A 42680-2022 karta.png", "A 42680-2022")</f>
        <v/>
      </c>
      <c r="V75">
        <f>HYPERLINK("https://klasma.github.io/Logging_2560/klagomål/A 42680-2022 FSC-klagomål.docx", "A 42680-2022")</f>
        <v/>
      </c>
      <c r="W75">
        <f>HYPERLINK("https://klasma.github.io/Logging_2560/klagomålsmail/A 42680-2022 FSC-klagomål mail.docx", "A 42680-2022")</f>
        <v/>
      </c>
      <c r="X75">
        <f>HYPERLINK("https://klasma.github.io/Logging_2560/tillsyn/A 42680-2022 tillsynsbegäran.docx", "A 42680-2022")</f>
        <v/>
      </c>
      <c r="Y75">
        <f>HYPERLINK("https://klasma.github.io/Logging_2560/tillsynsmail/A 42680-2022 tillsynsbegäran mail.docx", "A 42680-2022")</f>
        <v/>
      </c>
    </row>
    <row r="76" ht="15" customHeight="1">
      <c r="A76" t="inlineStr">
        <is>
          <t>A 20466-2025</t>
        </is>
      </c>
      <c r="B76" s="1" t="n">
        <v>45775</v>
      </c>
      <c r="C76" s="1" t="n">
        <v>45976</v>
      </c>
      <c r="D76" t="inlineStr">
        <is>
          <t>NORRBOTTENS LÄN</t>
        </is>
      </c>
      <c r="E76" t="inlineStr">
        <is>
          <t>ÄLVSBYN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HYPERLINK("https://klasma.github.io/Logging_2560/artfynd/A 20466-2025 artfynd.xlsx", "A 20466-2025")</f>
        <v/>
      </c>
      <c r="T76">
        <f>HYPERLINK("https://klasma.github.io/Logging_2560/kartor/A 20466-2025 karta.png", "A 20466-2025")</f>
        <v/>
      </c>
      <c r="V76">
        <f>HYPERLINK("https://klasma.github.io/Logging_2560/klagomål/A 20466-2025 FSC-klagomål.docx", "A 20466-2025")</f>
        <v/>
      </c>
      <c r="W76">
        <f>HYPERLINK("https://klasma.github.io/Logging_2560/klagomålsmail/A 20466-2025 FSC-klagomål mail.docx", "A 20466-2025")</f>
        <v/>
      </c>
      <c r="X76">
        <f>HYPERLINK("https://klasma.github.io/Logging_2560/tillsyn/A 20466-2025 tillsynsbegäran.docx", "A 20466-2025")</f>
        <v/>
      </c>
      <c r="Y76">
        <f>HYPERLINK("https://klasma.github.io/Logging_2560/tillsynsmail/A 20466-2025 tillsynsbegäran mail.docx", "A 20466-2025")</f>
        <v/>
      </c>
    </row>
    <row r="77" ht="15" customHeight="1">
      <c r="A77" t="inlineStr">
        <is>
          <t>A 33234-2025</t>
        </is>
      </c>
      <c r="B77" s="1" t="n">
        <v>45840.64365740741</v>
      </c>
      <c r="C77" s="1" t="n">
        <v>45976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Tretåig hackspett</t>
        </is>
      </c>
      <c r="S77">
        <f>HYPERLINK("https://klasma.github.io/Logging_2560/artfynd/A 33234-2025 artfynd.xlsx", "A 33234-2025")</f>
        <v/>
      </c>
      <c r="T77">
        <f>HYPERLINK("https://klasma.github.io/Logging_2560/kartor/A 33234-2025 karta.png", "A 33234-2025")</f>
        <v/>
      </c>
      <c r="V77">
        <f>HYPERLINK("https://klasma.github.io/Logging_2560/klagomål/A 33234-2025 FSC-klagomål.docx", "A 33234-2025")</f>
        <v/>
      </c>
      <c r="W77">
        <f>HYPERLINK("https://klasma.github.io/Logging_2560/klagomålsmail/A 33234-2025 FSC-klagomål mail.docx", "A 33234-2025")</f>
        <v/>
      </c>
      <c r="X77">
        <f>HYPERLINK("https://klasma.github.io/Logging_2560/tillsyn/A 33234-2025 tillsynsbegäran.docx", "A 33234-2025")</f>
        <v/>
      </c>
      <c r="Y77">
        <f>HYPERLINK("https://klasma.github.io/Logging_2560/tillsynsmail/A 33234-2025 tillsynsbegäran mail.docx", "A 33234-2025")</f>
        <v/>
      </c>
      <c r="Z77">
        <f>HYPERLINK("https://klasma.github.io/Logging_2560/fåglar/A 33234-2025 prioriterade fågelarter.docx", "A 33234-2025")</f>
        <v/>
      </c>
    </row>
    <row r="78" ht="15" customHeight="1">
      <c r="A78" t="inlineStr">
        <is>
          <t>A 34544-2025</t>
        </is>
      </c>
      <c r="B78" s="1" t="n">
        <v>45847</v>
      </c>
      <c r="C78" s="1" t="n">
        <v>45976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34544-2025 artfynd.xlsx", "A 34544-2025")</f>
        <v/>
      </c>
      <c r="T78">
        <f>HYPERLINK("https://klasma.github.io/Logging_2560/kartor/A 34544-2025 karta.png", "A 34544-2025")</f>
        <v/>
      </c>
      <c r="V78">
        <f>HYPERLINK("https://klasma.github.io/Logging_2560/klagomål/A 34544-2025 FSC-klagomål.docx", "A 34544-2025")</f>
        <v/>
      </c>
      <c r="W78">
        <f>HYPERLINK("https://klasma.github.io/Logging_2560/klagomålsmail/A 34544-2025 FSC-klagomål mail.docx", "A 34544-2025")</f>
        <v/>
      </c>
      <c r="X78">
        <f>HYPERLINK("https://klasma.github.io/Logging_2560/tillsyn/A 34544-2025 tillsynsbegäran.docx", "A 34544-2025")</f>
        <v/>
      </c>
      <c r="Y78">
        <f>HYPERLINK("https://klasma.github.io/Logging_2560/tillsynsmail/A 34544-2025 tillsynsbegäran mail.docx", "A 34544-2025")</f>
        <v/>
      </c>
    </row>
    <row r="79" ht="15" customHeight="1">
      <c r="A79" t="inlineStr">
        <is>
          <t>A 57140-2024</t>
        </is>
      </c>
      <c r="B79" s="1" t="n">
        <v>45629</v>
      </c>
      <c r="C79" s="1" t="n">
        <v>45976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HYPERLINK("https://klasma.github.io/Logging_2560/artfynd/A 57140-2024 artfynd.xlsx", "A 57140-2024")</f>
        <v/>
      </c>
      <c r="T79">
        <f>HYPERLINK("https://klasma.github.io/Logging_2560/kartor/A 57140-2024 karta.png", "A 57140-2024")</f>
        <v/>
      </c>
      <c r="V79">
        <f>HYPERLINK("https://klasma.github.io/Logging_2560/klagomål/A 57140-2024 FSC-klagomål.docx", "A 57140-2024")</f>
        <v/>
      </c>
      <c r="W79">
        <f>HYPERLINK("https://klasma.github.io/Logging_2560/klagomålsmail/A 57140-2024 FSC-klagomål mail.docx", "A 57140-2024")</f>
        <v/>
      </c>
      <c r="X79">
        <f>HYPERLINK("https://klasma.github.io/Logging_2560/tillsyn/A 57140-2024 tillsynsbegäran.docx", "A 57140-2024")</f>
        <v/>
      </c>
      <c r="Y79">
        <f>HYPERLINK("https://klasma.github.io/Logging_2560/tillsynsmail/A 57140-2024 tillsynsbegäran mail.docx", "A 57140-2024")</f>
        <v/>
      </c>
    </row>
    <row r="80" ht="15" customHeight="1">
      <c r="A80" t="inlineStr">
        <is>
          <t>A 39828-2023</t>
        </is>
      </c>
      <c r="B80" s="1" t="n">
        <v>45168</v>
      </c>
      <c r="C80" s="1" t="n">
        <v>45976</v>
      </c>
      <c r="D80" t="inlineStr">
        <is>
          <t>NORRBOTTENS LÄN</t>
        </is>
      </c>
      <c r="E80" t="inlineStr">
        <is>
          <t>ÄLVSBYN</t>
        </is>
      </c>
      <c r="G80" t="n">
        <v>14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HYPERLINK("https://klasma.github.io/Logging_2560/artfynd/A 39828-2023 artfynd.xlsx", "A 39828-2023")</f>
        <v/>
      </c>
      <c r="T80">
        <f>HYPERLINK("https://klasma.github.io/Logging_2560/kartor/A 39828-2023 karta.png", "A 39828-2023")</f>
        <v/>
      </c>
      <c r="V80">
        <f>HYPERLINK("https://klasma.github.io/Logging_2560/klagomål/A 39828-2023 FSC-klagomål.docx", "A 39828-2023")</f>
        <v/>
      </c>
      <c r="W80">
        <f>HYPERLINK("https://klasma.github.io/Logging_2560/klagomålsmail/A 39828-2023 FSC-klagomål mail.docx", "A 39828-2023")</f>
        <v/>
      </c>
      <c r="X80">
        <f>HYPERLINK("https://klasma.github.io/Logging_2560/tillsyn/A 39828-2023 tillsynsbegäran.docx", "A 39828-2023")</f>
        <v/>
      </c>
      <c r="Y80">
        <f>HYPERLINK("https://klasma.github.io/Logging_2560/tillsynsmail/A 39828-2023 tillsynsbegäran mail.docx", "A 39828-2023")</f>
        <v/>
      </c>
    </row>
    <row r="81" ht="15" customHeight="1">
      <c r="A81" t="inlineStr">
        <is>
          <t>A 19459-2022</t>
        </is>
      </c>
      <c r="B81" s="1" t="n">
        <v>44693.42863425926</v>
      </c>
      <c r="C81" s="1" t="n">
        <v>45976</v>
      </c>
      <c r="D81" t="inlineStr">
        <is>
          <t>NORRBOTTENS LÄN</t>
        </is>
      </c>
      <c r="E81" t="inlineStr">
        <is>
          <t>ÄLVSBYN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48103-2021</t>
        </is>
      </c>
      <c r="B82" s="1" t="n">
        <v>44449.44953703704</v>
      </c>
      <c r="C82" s="1" t="n">
        <v>45976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14866-2021</t>
        </is>
      </c>
      <c r="B83" s="1" t="n">
        <v>44280</v>
      </c>
      <c r="C83" s="1" t="n">
        <v>45976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26406-2022</t>
        </is>
      </c>
      <c r="B84" s="1" t="n">
        <v>44735.94076388889</v>
      </c>
      <c r="C84" s="1" t="n">
        <v>45976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51063-2022</t>
        </is>
      </c>
      <c r="B85" s="1" t="n">
        <v>44868</v>
      </c>
      <c r="C85" s="1" t="n">
        <v>45976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26579-2022</t>
        </is>
      </c>
      <c r="B86" s="1" t="n">
        <v>44739</v>
      </c>
      <c r="C86" s="1" t="n">
        <v>45976</v>
      </c>
      <c r="D86" t="inlineStr">
        <is>
          <t>NORRBOTTENS LÄN</t>
        </is>
      </c>
      <c r="E86" t="inlineStr">
        <is>
          <t>ÄLVSBYN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73648-2021</t>
        </is>
      </c>
      <c r="B87" s="1" t="n">
        <v>44552.44517361111</v>
      </c>
      <c r="C87" s="1" t="n">
        <v>45976</v>
      </c>
      <c r="D87" t="inlineStr">
        <is>
          <t>NORRBOTTENS LÄN</t>
        </is>
      </c>
      <c r="E87" t="inlineStr">
        <is>
          <t>ÄLVSBYN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59483-2021</t>
        </is>
      </c>
      <c r="B88" s="1" t="n">
        <v>44491.52248842592</v>
      </c>
      <c r="C88" s="1" t="n">
        <v>45976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59487-2021</t>
        </is>
      </c>
      <c r="B89" s="1" t="n">
        <v>44491</v>
      </c>
      <c r="C89" s="1" t="n">
        <v>45976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50917-2021</t>
        </is>
      </c>
      <c r="B90" s="1" t="n">
        <v>44460</v>
      </c>
      <c r="C90" s="1" t="n">
        <v>45976</v>
      </c>
      <c r="D90" t="inlineStr">
        <is>
          <t>NORRBOTTENS LÄN</t>
        </is>
      </c>
      <c r="E90" t="inlineStr">
        <is>
          <t>ÄLVSBYN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67103-2021</t>
        </is>
      </c>
      <c r="B91" s="1" t="n">
        <v>44522</v>
      </c>
      <c r="C91" s="1" t="n">
        <v>45976</v>
      </c>
      <c r="D91" t="inlineStr">
        <is>
          <t>NORRBOTTENS LÄN</t>
        </is>
      </c>
      <c r="E91" t="inlineStr">
        <is>
          <t>ÄLVSBYN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51993-2021</t>
        </is>
      </c>
      <c r="B92" s="1" t="n">
        <v>44463.32685185185</v>
      </c>
      <c r="C92" s="1" t="n">
        <v>45976</v>
      </c>
      <c r="D92" t="inlineStr">
        <is>
          <t>NORRBOTTENS LÄN</t>
        </is>
      </c>
      <c r="E92" t="inlineStr">
        <is>
          <t>ÄLVSBYN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73589-2021</t>
        </is>
      </c>
      <c r="B93" s="1" t="n">
        <v>44552.36655092592</v>
      </c>
      <c r="C93" s="1" t="n">
        <v>45976</v>
      </c>
      <c r="D93" t="inlineStr">
        <is>
          <t>NORRBOTTENS LÄN</t>
        </is>
      </c>
      <c r="E93" t="inlineStr">
        <is>
          <t>ÄLVSBYN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49843-2021</t>
        </is>
      </c>
      <c r="B94" s="1" t="n">
        <v>44455</v>
      </c>
      <c r="C94" s="1" t="n">
        <v>45976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57816-2021</t>
        </is>
      </c>
      <c r="B95" s="1" t="n">
        <v>44484</v>
      </c>
      <c r="C95" s="1" t="n">
        <v>45976</v>
      </c>
      <c r="D95" t="inlineStr">
        <is>
          <t>NORRBOTTENS LÄN</t>
        </is>
      </c>
      <c r="E95" t="inlineStr">
        <is>
          <t>ÄLVSBYN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46307-2022</t>
        </is>
      </c>
      <c r="B96" s="1" t="n">
        <v>44847</v>
      </c>
      <c r="C96" s="1" t="n">
        <v>45976</v>
      </c>
      <c r="D96" t="inlineStr">
        <is>
          <t>NORRBOTTENS LÄN</t>
        </is>
      </c>
      <c r="E96" t="inlineStr">
        <is>
          <t>ÄLVSBYN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39444-2022</t>
        </is>
      </c>
      <c r="B97" s="1" t="n">
        <v>44818</v>
      </c>
      <c r="C97" s="1" t="n">
        <v>45976</v>
      </c>
      <c r="D97" t="inlineStr">
        <is>
          <t>NORRBOTTENS LÄN</t>
        </is>
      </c>
      <c r="E97" t="inlineStr">
        <is>
          <t>ÄLVSBYN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41159-2022</t>
        </is>
      </c>
      <c r="B98" s="1" t="n">
        <v>44825</v>
      </c>
      <c r="C98" s="1" t="n">
        <v>45976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23063-2021</t>
        </is>
      </c>
      <c r="B99" s="1" t="n">
        <v>44329.85693287037</v>
      </c>
      <c r="C99" s="1" t="n">
        <v>45976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45976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45976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45976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22098-2022</t>
        </is>
      </c>
      <c r="B103" s="1" t="n">
        <v>44711</v>
      </c>
      <c r="C103" s="1" t="n">
        <v>45976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17784-2021</t>
        </is>
      </c>
      <c r="B104" s="1" t="n">
        <v>44300</v>
      </c>
      <c r="C104" s="1" t="n">
        <v>45976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39914-2022</t>
        </is>
      </c>
      <c r="B105" s="1" t="n">
        <v>44819.76788194444</v>
      </c>
      <c r="C105" s="1" t="n">
        <v>45976</v>
      </c>
      <c r="D105" t="inlineStr">
        <is>
          <t>NORRBOTTENS LÄN</t>
        </is>
      </c>
      <c r="E105" t="inlineStr">
        <is>
          <t>ÄLVSBYN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34656-2022</t>
        </is>
      </c>
      <c r="B106" s="1" t="n">
        <v>44795</v>
      </c>
      <c r="C106" s="1" t="n">
        <v>45976</v>
      </c>
      <c r="D106" t="inlineStr">
        <is>
          <t>NORRBOTTENS LÄN</t>
        </is>
      </c>
      <c r="E106" t="inlineStr">
        <is>
          <t>ÄLVSBYN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55775-2021</t>
        </is>
      </c>
      <c r="B107" s="1" t="n">
        <v>44476</v>
      </c>
      <c r="C107" s="1" t="n">
        <v>45976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5410-2021</t>
        </is>
      </c>
      <c r="B108" s="1" t="n">
        <v>44229</v>
      </c>
      <c r="C108" s="1" t="n">
        <v>45976</v>
      </c>
      <c r="D108" t="inlineStr">
        <is>
          <t>NORRBOTTENS LÄN</t>
        </is>
      </c>
      <c r="E108" t="inlineStr">
        <is>
          <t>ÄLVSBYN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52253-2021</t>
        </is>
      </c>
      <c r="B109" s="1" t="n">
        <v>44463</v>
      </c>
      <c r="C109" s="1" t="n">
        <v>45976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58315-2024</t>
        </is>
      </c>
      <c r="B110" s="1" t="n">
        <v>45632</v>
      </c>
      <c r="C110" s="1" t="n">
        <v>45976</v>
      </c>
      <c r="D110" t="inlineStr">
        <is>
          <t>NORRBOTTENS LÄN</t>
        </is>
      </c>
      <c r="E110" t="inlineStr">
        <is>
          <t>ÄLVSBYN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45976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51540-2021</t>
        </is>
      </c>
      <c r="B112" s="1" t="n">
        <v>44462.40960648148</v>
      </c>
      <c r="C112" s="1" t="n">
        <v>45976</v>
      </c>
      <c r="D112" t="inlineStr">
        <is>
          <t>NORRBOTTENS LÄN</t>
        </is>
      </c>
      <c r="E112" t="inlineStr">
        <is>
          <t>ÄLVSBYN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17094-2022</t>
        </is>
      </c>
      <c r="B113" s="1" t="n">
        <v>44677</v>
      </c>
      <c r="C113" s="1" t="n">
        <v>45976</v>
      </c>
      <c r="D113" t="inlineStr">
        <is>
          <t>NORRBOTTENS LÄN</t>
        </is>
      </c>
      <c r="E113" t="inlineStr">
        <is>
          <t>ÄLVSBYN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42568-2024</t>
        </is>
      </c>
      <c r="B114" s="1" t="n">
        <v>45565</v>
      </c>
      <c r="C114" s="1" t="n">
        <v>45976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40282-2024</t>
        </is>
      </c>
      <c r="B115" s="1" t="n">
        <v>45554.66056712963</v>
      </c>
      <c r="C115" s="1" t="n">
        <v>45976</v>
      </c>
      <c r="D115" t="inlineStr">
        <is>
          <t>NORRBOTTENS LÄN</t>
        </is>
      </c>
      <c r="E115" t="inlineStr">
        <is>
          <t>ÄLVSBYN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38490-2022</t>
        </is>
      </c>
      <c r="B116" s="1" t="n">
        <v>44813.55563657408</v>
      </c>
      <c r="C116" s="1" t="n">
        <v>45976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25102-2023</t>
        </is>
      </c>
      <c r="B117" s="1" t="n">
        <v>45078</v>
      </c>
      <c r="C117" s="1" t="n">
        <v>45976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51457-2023</t>
        </is>
      </c>
      <c r="B118" s="1" t="n">
        <v>45220</v>
      </c>
      <c r="C118" s="1" t="n">
        <v>45976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11835-2023</t>
        </is>
      </c>
      <c r="B119" s="1" t="n">
        <v>44994</v>
      </c>
      <c r="C119" s="1" t="n">
        <v>45976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6820-2022</t>
        </is>
      </c>
      <c r="B120" s="1" t="n">
        <v>44602</v>
      </c>
      <c r="C120" s="1" t="n">
        <v>45976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32195-2024</t>
        </is>
      </c>
      <c r="B121" s="1" t="n">
        <v>45511</v>
      </c>
      <c r="C121" s="1" t="n">
        <v>45976</v>
      </c>
      <c r="D121" t="inlineStr">
        <is>
          <t>NORRBOTTENS LÄN</t>
        </is>
      </c>
      <c r="E121" t="inlineStr">
        <is>
          <t>ÄLVSBYN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28314-2024</t>
        </is>
      </c>
      <c r="B122" s="1" t="n">
        <v>45477</v>
      </c>
      <c r="C122" s="1" t="n">
        <v>45976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61518-2023</t>
        </is>
      </c>
      <c r="B123" s="1" t="n">
        <v>45265.33850694444</v>
      </c>
      <c r="C123" s="1" t="n">
        <v>45976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45603-2021</t>
        </is>
      </c>
      <c r="B124" s="1" t="n">
        <v>44440.83734953704</v>
      </c>
      <c r="C124" s="1" t="n">
        <v>45976</v>
      </c>
      <c r="D124" t="inlineStr">
        <is>
          <t>NORRBOTTENS LÄN</t>
        </is>
      </c>
      <c r="E124" t="inlineStr">
        <is>
          <t>ÄLVSBYN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60581-2024</t>
        </is>
      </c>
      <c r="B125" s="1" t="n">
        <v>45642</v>
      </c>
      <c r="C125" s="1" t="n">
        <v>45976</v>
      </c>
      <c r="D125" t="inlineStr">
        <is>
          <t>NORRBOTTENS LÄN</t>
        </is>
      </c>
      <c r="E125" t="inlineStr">
        <is>
          <t>ÄLVSBYN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8549-2025</t>
        </is>
      </c>
      <c r="B126" s="1" t="n">
        <v>45709</v>
      </c>
      <c r="C126" s="1" t="n">
        <v>45976</v>
      </c>
      <c r="D126" t="inlineStr">
        <is>
          <t>NORRBOTTENS LÄN</t>
        </is>
      </c>
      <c r="E126" t="inlineStr">
        <is>
          <t>ÄLVSBYN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65410-2021</t>
        </is>
      </c>
      <c r="B127" s="1" t="n">
        <v>44515.9200462963</v>
      </c>
      <c r="C127" s="1" t="n">
        <v>45976</v>
      </c>
      <c r="D127" t="inlineStr">
        <is>
          <t>NORRBOTTENS LÄN</t>
        </is>
      </c>
      <c r="E127" t="inlineStr">
        <is>
          <t>ÄLVSBYN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31220-2023</t>
        </is>
      </c>
      <c r="B128" s="1" t="n">
        <v>45114</v>
      </c>
      <c r="C128" s="1" t="n">
        <v>45976</v>
      </c>
      <c r="D128" t="inlineStr">
        <is>
          <t>NORRBOTTENS LÄN</t>
        </is>
      </c>
      <c r="E128" t="inlineStr">
        <is>
          <t>ÄLVSBYN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29683-2024</t>
        </is>
      </c>
      <c r="B129" s="1" t="n">
        <v>45484</v>
      </c>
      <c r="C129" s="1" t="n">
        <v>45976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37291-2024</t>
        </is>
      </c>
      <c r="B130" s="1" t="n">
        <v>45540</v>
      </c>
      <c r="C130" s="1" t="n">
        <v>45976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64403-2023</t>
        </is>
      </c>
      <c r="B131" s="1" t="n">
        <v>45280.6125</v>
      </c>
      <c r="C131" s="1" t="n">
        <v>45976</v>
      </c>
      <c r="D131" t="inlineStr">
        <is>
          <t>NORRBOTTENS LÄN</t>
        </is>
      </c>
      <c r="E131" t="inlineStr">
        <is>
          <t>ÄLVSBYN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36758-2025</t>
        </is>
      </c>
      <c r="B132" s="1" t="n">
        <v>45873</v>
      </c>
      <c r="C132" s="1" t="n">
        <v>45976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55552-2024</t>
        </is>
      </c>
      <c r="B133" s="1" t="n">
        <v>45622</v>
      </c>
      <c r="C133" s="1" t="n">
        <v>45976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54848-2024</t>
        </is>
      </c>
      <c r="B134" s="1" t="n">
        <v>45618</v>
      </c>
      <c r="C134" s="1" t="n">
        <v>45976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64471-2023</t>
        </is>
      </c>
      <c r="B135" s="1" t="n">
        <v>45280.81618055556</v>
      </c>
      <c r="C135" s="1" t="n">
        <v>45976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6004-2023</t>
        </is>
      </c>
      <c r="B136" s="1" t="n">
        <v>44959</v>
      </c>
      <c r="C136" s="1" t="n">
        <v>45976</v>
      </c>
      <c r="D136" t="inlineStr">
        <is>
          <t>NORRBOTTENS LÄN</t>
        </is>
      </c>
      <c r="E136" t="inlineStr">
        <is>
          <t>ÄLVSBYN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8550-2025</t>
        </is>
      </c>
      <c r="B137" s="1" t="n">
        <v>45709</v>
      </c>
      <c r="C137" s="1" t="n">
        <v>45976</v>
      </c>
      <c r="D137" t="inlineStr">
        <is>
          <t>NORRBOTTENS LÄN</t>
        </is>
      </c>
      <c r="E137" t="inlineStr">
        <is>
          <t>ÄLVSBYN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20158-2025</t>
        </is>
      </c>
      <c r="B138" s="1" t="n">
        <v>45772</v>
      </c>
      <c r="C138" s="1" t="n">
        <v>45976</v>
      </c>
      <c r="D138" t="inlineStr">
        <is>
          <t>NORRBOTTENS LÄN</t>
        </is>
      </c>
      <c r="E138" t="inlineStr">
        <is>
          <t>ÄLVSBYN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30555-2025</t>
        </is>
      </c>
      <c r="B139" s="1" t="n">
        <v>45831.38609953703</v>
      </c>
      <c r="C139" s="1" t="n">
        <v>45976</v>
      </c>
      <c r="D139" t="inlineStr">
        <is>
          <t>NORRBOTTENS LÄN</t>
        </is>
      </c>
      <c r="E139" t="inlineStr">
        <is>
          <t>ÄLVSBYN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36756-2025</t>
        </is>
      </c>
      <c r="B140" s="1" t="n">
        <v>45873</v>
      </c>
      <c r="C140" s="1" t="n">
        <v>45976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36929-2025</t>
        </is>
      </c>
      <c r="B141" s="1" t="n">
        <v>45874</v>
      </c>
      <c r="C141" s="1" t="n">
        <v>45976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58919-2023</t>
        </is>
      </c>
      <c r="B142" s="1" t="n">
        <v>45252</v>
      </c>
      <c r="C142" s="1" t="n">
        <v>45976</v>
      </c>
      <c r="D142" t="inlineStr">
        <is>
          <t>NORRBOTTENS LÄN</t>
        </is>
      </c>
      <c r="E142" t="inlineStr">
        <is>
          <t>ÄLVSBYN</t>
        </is>
      </c>
      <c r="G142" t="n">
        <v>25.1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2595-2023</t>
        </is>
      </c>
      <c r="B143" s="1" t="n">
        <v>44943</v>
      </c>
      <c r="C143" s="1" t="n">
        <v>45976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37731-2022</t>
        </is>
      </c>
      <c r="B144" s="1" t="n">
        <v>44810.57025462963</v>
      </c>
      <c r="C144" s="1" t="n">
        <v>45976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6825-2023</t>
        </is>
      </c>
      <c r="B145" s="1" t="n">
        <v>44967.40280092593</v>
      </c>
      <c r="C145" s="1" t="n">
        <v>45976</v>
      </c>
      <c r="D145" t="inlineStr">
        <is>
          <t>NORRBOTTENS LÄN</t>
        </is>
      </c>
      <c r="E145" t="inlineStr">
        <is>
          <t>ÄLVSBYN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61619-2024</t>
        </is>
      </c>
      <c r="B146" s="1" t="n">
        <v>45646.65796296296</v>
      </c>
      <c r="C146" s="1" t="n">
        <v>45976</v>
      </c>
      <c r="D146" t="inlineStr">
        <is>
          <t>NORRBOTTENS LÄN</t>
        </is>
      </c>
      <c r="E146" t="inlineStr">
        <is>
          <t>ÄLVSBYN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57233-2022</t>
        </is>
      </c>
      <c r="B147" s="1" t="n">
        <v>44895.67405092593</v>
      </c>
      <c r="C147" s="1" t="n">
        <v>45976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20237-2025</t>
        </is>
      </c>
      <c r="B148" s="1" t="n">
        <v>45772</v>
      </c>
      <c r="C148" s="1" t="n">
        <v>45976</v>
      </c>
      <c r="D148" t="inlineStr">
        <is>
          <t>NORRBOTTENS LÄN</t>
        </is>
      </c>
      <c r="E148" t="inlineStr">
        <is>
          <t>ÄLVSBYN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52087-2022</t>
        </is>
      </c>
      <c r="B149" s="1" t="n">
        <v>44873</v>
      </c>
      <c r="C149" s="1" t="n">
        <v>45976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64872-2023</t>
        </is>
      </c>
      <c r="B150" s="1" t="n">
        <v>45282</v>
      </c>
      <c r="C150" s="1" t="n">
        <v>45976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58505-2023</t>
        </is>
      </c>
      <c r="B151" s="1" t="n">
        <v>45251.36628472222</v>
      </c>
      <c r="C151" s="1" t="n">
        <v>45976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40560-2022</t>
        </is>
      </c>
      <c r="B152" s="1" t="n">
        <v>44823.66949074074</v>
      </c>
      <c r="C152" s="1" t="n">
        <v>45976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20187-2025</t>
        </is>
      </c>
      <c r="B153" s="1" t="n">
        <v>45772</v>
      </c>
      <c r="C153" s="1" t="n">
        <v>45976</v>
      </c>
      <c r="D153" t="inlineStr">
        <is>
          <t>NORRBOTTENS LÄN</t>
        </is>
      </c>
      <c r="E153" t="inlineStr">
        <is>
          <t>ÄLVSBYN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31900-2024</t>
        </is>
      </c>
      <c r="B154" s="1" t="n">
        <v>45510.31917824074</v>
      </c>
      <c r="C154" s="1" t="n">
        <v>45976</v>
      </c>
      <c r="D154" t="inlineStr">
        <is>
          <t>NORRBOTTENS LÄN</t>
        </is>
      </c>
      <c r="E154" t="inlineStr">
        <is>
          <t>ÄLVSBYN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38079-2025</t>
        </is>
      </c>
      <c r="B155" s="1" t="n">
        <v>45882</v>
      </c>
      <c r="C155" s="1" t="n">
        <v>45976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5646-2024</t>
        </is>
      </c>
      <c r="B156" s="1" t="n">
        <v>45334.62170138889</v>
      </c>
      <c r="C156" s="1" t="n">
        <v>45976</v>
      </c>
      <c r="D156" t="inlineStr">
        <is>
          <t>NORRBOTTENS LÄN</t>
        </is>
      </c>
      <c r="E156" t="inlineStr">
        <is>
          <t>ÄLVSBYN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42574-2024</t>
        </is>
      </c>
      <c r="B157" s="1" t="n">
        <v>45565.64506944444</v>
      </c>
      <c r="C157" s="1" t="n">
        <v>45976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43776-2024</t>
        </is>
      </c>
      <c r="B158" s="1" t="n">
        <v>45570</v>
      </c>
      <c r="C158" s="1" t="n">
        <v>45976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45424-2023</t>
        </is>
      </c>
      <c r="B159" s="1" t="n">
        <v>45194</v>
      </c>
      <c r="C159" s="1" t="n">
        <v>45976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33848-2022</t>
        </is>
      </c>
      <c r="B160" s="1" t="n">
        <v>44790</v>
      </c>
      <c r="C160" s="1" t="n">
        <v>45976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40284-2024</t>
        </is>
      </c>
      <c r="B161" s="1" t="n">
        <v>45554.66608796296</v>
      </c>
      <c r="C161" s="1" t="n">
        <v>45976</v>
      </c>
      <c r="D161" t="inlineStr">
        <is>
          <t>NORRBOTTENS LÄN</t>
        </is>
      </c>
      <c r="E161" t="inlineStr">
        <is>
          <t>ÄLVSBYN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25455-2022</t>
        </is>
      </c>
      <c r="B162" s="1" t="n">
        <v>44732</v>
      </c>
      <c r="C162" s="1" t="n">
        <v>45976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21677-2023</t>
        </is>
      </c>
      <c r="B163" s="1" t="n">
        <v>45063.94185185185</v>
      </c>
      <c r="C163" s="1" t="n">
        <v>45976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34863-2022</t>
        </is>
      </c>
      <c r="B164" s="1" t="n">
        <v>44795</v>
      </c>
      <c r="C164" s="1" t="n">
        <v>45976</v>
      </c>
      <c r="D164" t="inlineStr">
        <is>
          <t>NORRBOTTENS LÄN</t>
        </is>
      </c>
      <c r="E164" t="inlineStr">
        <is>
          <t>ÄLVSBYN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51051-2024</t>
        </is>
      </c>
      <c r="B165" s="1" t="n">
        <v>45603</v>
      </c>
      <c r="C165" s="1" t="n">
        <v>45976</v>
      </c>
      <c r="D165" t="inlineStr">
        <is>
          <t>NORRBOTTENS LÄN</t>
        </is>
      </c>
      <c r="E165" t="inlineStr">
        <is>
          <t>ÄLVSBYN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16204-2024</t>
        </is>
      </c>
      <c r="B166" s="1" t="n">
        <v>45406.77420138889</v>
      </c>
      <c r="C166" s="1" t="n">
        <v>45976</v>
      </c>
      <c r="D166" t="inlineStr">
        <is>
          <t>NORRBOTTENS LÄN</t>
        </is>
      </c>
      <c r="E166" t="inlineStr">
        <is>
          <t>ÄLVSBYN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38707-2025</t>
        </is>
      </c>
      <c r="B167" s="1" t="n">
        <v>45885</v>
      </c>
      <c r="C167" s="1" t="n">
        <v>45976</v>
      </c>
      <c r="D167" t="inlineStr">
        <is>
          <t>NORRBOTTENS LÄN</t>
        </is>
      </c>
      <c r="E167" t="inlineStr">
        <is>
          <t>ÄLVSBYN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55078-2024</t>
        </is>
      </c>
      <c r="B168" s="1" t="n">
        <v>45621</v>
      </c>
      <c r="C168" s="1" t="n">
        <v>45976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33336-2024</t>
        </is>
      </c>
      <c r="B169" s="1" t="n">
        <v>45519.31964120371</v>
      </c>
      <c r="C169" s="1" t="n">
        <v>45976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58515-2023</t>
        </is>
      </c>
      <c r="B170" s="1" t="n">
        <v>45251</v>
      </c>
      <c r="C170" s="1" t="n">
        <v>45976</v>
      </c>
      <c r="D170" t="inlineStr">
        <is>
          <t>NORRBOTTENS LÄN</t>
        </is>
      </c>
      <c r="E170" t="inlineStr">
        <is>
          <t>ÄLVSBYN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64407-2023</t>
        </is>
      </c>
      <c r="B171" s="1" t="n">
        <v>45280.62268518518</v>
      </c>
      <c r="C171" s="1" t="n">
        <v>45976</v>
      </c>
      <c r="D171" t="inlineStr">
        <is>
          <t>NORRBOTTENS LÄN</t>
        </is>
      </c>
      <c r="E171" t="inlineStr">
        <is>
          <t>ÄLVSBYN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20253-2024</t>
        </is>
      </c>
      <c r="B172" s="1" t="n">
        <v>45434</v>
      </c>
      <c r="C172" s="1" t="n">
        <v>45976</v>
      </c>
      <c r="D172" t="inlineStr">
        <is>
          <t>NORRBOTTENS LÄN</t>
        </is>
      </c>
      <c r="E172" t="inlineStr">
        <is>
          <t>ÄLVSBYN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57139-2024</t>
        </is>
      </c>
      <c r="B173" s="1" t="n">
        <v>45629</v>
      </c>
      <c r="C173" s="1" t="n">
        <v>45976</v>
      </c>
      <c r="D173" t="inlineStr">
        <is>
          <t>NORRBOTTENS LÄN</t>
        </is>
      </c>
      <c r="E173" t="inlineStr">
        <is>
          <t>ÄLVSBYN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27550-2024</t>
        </is>
      </c>
      <c r="B174" s="1" t="n">
        <v>45474</v>
      </c>
      <c r="C174" s="1" t="n">
        <v>45976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45976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39005-2023</t>
        </is>
      </c>
      <c r="B176" s="1" t="n">
        <v>45162</v>
      </c>
      <c r="C176" s="1" t="n">
        <v>45976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47394-2024</t>
        </is>
      </c>
      <c r="B177" s="1" t="n">
        <v>45587.47013888889</v>
      </c>
      <c r="C177" s="1" t="n">
        <v>45976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3500-2023</t>
        </is>
      </c>
      <c r="B178" s="1" t="n">
        <v>44949.9250925926</v>
      </c>
      <c r="C178" s="1" t="n">
        <v>45976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3038-2025</t>
        </is>
      </c>
      <c r="B179" s="1" t="n">
        <v>45678</v>
      </c>
      <c r="C179" s="1" t="n">
        <v>45976</v>
      </c>
      <c r="D179" t="inlineStr">
        <is>
          <t>NORRBOTTENS LÄN</t>
        </is>
      </c>
      <c r="E179" t="inlineStr">
        <is>
          <t>ÄLVSBYN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45949-2024</t>
        </is>
      </c>
      <c r="B180" s="1" t="n">
        <v>45580</v>
      </c>
      <c r="C180" s="1" t="n">
        <v>45976</v>
      </c>
      <c r="D180" t="inlineStr">
        <is>
          <t>NORRBOTTENS LÄN</t>
        </is>
      </c>
      <c r="E180" t="inlineStr">
        <is>
          <t>ÄLVSBYN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50744-2021</t>
        </is>
      </c>
      <c r="B181" s="1" t="n">
        <v>44460</v>
      </c>
      <c r="C181" s="1" t="n">
        <v>45976</v>
      </c>
      <c r="D181" t="inlineStr">
        <is>
          <t>NORRBOTTENS LÄN</t>
        </is>
      </c>
      <c r="E181" t="inlineStr">
        <is>
          <t>ÄLVSBYN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30606-2024</t>
        </is>
      </c>
      <c r="B182" s="1" t="n">
        <v>45494.95077546296</v>
      </c>
      <c r="C182" s="1" t="n">
        <v>45976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39020-2025</t>
        </is>
      </c>
      <c r="B183" s="1" t="n">
        <v>45888.37311342593</v>
      </c>
      <c r="C183" s="1" t="n">
        <v>45976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58007-2024</t>
        </is>
      </c>
      <c r="B184" s="1" t="n">
        <v>45631</v>
      </c>
      <c r="C184" s="1" t="n">
        <v>45976</v>
      </c>
      <c r="D184" t="inlineStr">
        <is>
          <t>NORRBOTTENS LÄN</t>
        </is>
      </c>
      <c r="E184" t="inlineStr">
        <is>
          <t>ÄLVSBYN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39932-2025</t>
        </is>
      </c>
      <c r="B185" s="1" t="n">
        <v>45891</v>
      </c>
      <c r="C185" s="1" t="n">
        <v>45976</v>
      </c>
      <c r="D185" t="inlineStr">
        <is>
          <t>NORRBOTTENS LÄN</t>
        </is>
      </c>
      <c r="E185" t="inlineStr">
        <is>
          <t>ÄLVSBYN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28358-2024</t>
        </is>
      </c>
      <c r="B186" s="1" t="n">
        <v>45477</v>
      </c>
      <c r="C186" s="1" t="n">
        <v>45976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2290-2023</t>
        </is>
      </c>
      <c r="B187" s="1" t="n">
        <v>44942</v>
      </c>
      <c r="C187" s="1" t="n">
        <v>45976</v>
      </c>
      <c r="D187" t="inlineStr">
        <is>
          <t>NORRBOTTENS LÄN</t>
        </is>
      </c>
      <c r="E187" t="inlineStr">
        <is>
          <t>ÄLVSBYN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39645-2024</t>
        </is>
      </c>
      <c r="B188" s="1" t="n">
        <v>45552.46903935185</v>
      </c>
      <c r="C188" s="1" t="n">
        <v>45976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58476-2023</t>
        </is>
      </c>
      <c r="B189" s="1" t="n">
        <v>45246</v>
      </c>
      <c r="C189" s="1" t="n">
        <v>45976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10434-2024</t>
        </is>
      </c>
      <c r="B190" s="1" t="n">
        <v>45365</v>
      </c>
      <c r="C190" s="1" t="n">
        <v>45976</v>
      </c>
      <c r="D190" t="inlineStr">
        <is>
          <t>NORRBOTTENS LÄN</t>
        </is>
      </c>
      <c r="E190" t="inlineStr">
        <is>
          <t>ÄLVSBYN</t>
        </is>
      </c>
      <c r="G190" t="n">
        <v>15.1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50924-2021</t>
        </is>
      </c>
      <c r="B191" s="1" t="n">
        <v>44460</v>
      </c>
      <c r="C191" s="1" t="n">
        <v>45976</v>
      </c>
      <c r="D191" t="inlineStr">
        <is>
          <t>NORRBOTTENS LÄN</t>
        </is>
      </c>
      <c r="E191" t="inlineStr">
        <is>
          <t>ÄLVSBYN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45976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41467-2023</t>
        </is>
      </c>
      <c r="B193" s="1" t="n">
        <v>45175</v>
      </c>
      <c r="C193" s="1" t="n">
        <v>45976</v>
      </c>
      <c r="D193" t="inlineStr">
        <is>
          <t>NORRBOTTENS LÄN</t>
        </is>
      </c>
      <c r="E193" t="inlineStr">
        <is>
          <t>ÄLVSBYN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48803-2025</t>
        </is>
      </c>
      <c r="B194" s="1" t="n">
        <v>45937.34543981482</v>
      </c>
      <c r="C194" s="1" t="n">
        <v>45976</v>
      </c>
      <c r="D194" t="inlineStr">
        <is>
          <t>NORRBOTTENS LÄN</t>
        </is>
      </c>
      <c r="E194" t="inlineStr">
        <is>
          <t>ÄLVSBYN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46784-2024</t>
        </is>
      </c>
      <c r="B195" s="1" t="n">
        <v>45583.52376157408</v>
      </c>
      <c r="C195" s="1" t="n">
        <v>45976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24760-2022</t>
        </is>
      </c>
      <c r="B196" s="1" t="n">
        <v>44728</v>
      </c>
      <c r="C196" s="1" t="n">
        <v>45976</v>
      </c>
      <c r="D196" t="inlineStr">
        <is>
          <t>NORRBOTTENS LÄN</t>
        </is>
      </c>
      <c r="E196" t="inlineStr">
        <is>
          <t>ÄLVSBYN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40359-2025</t>
        </is>
      </c>
      <c r="B197" s="1" t="n">
        <v>45895.49011574074</v>
      </c>
      <c r="C197" s="1" t="n">
        <v>45976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58908-2022</t>
        </is>
      </c>
      <c r="B198" s="1" t="n">
        <v>44896</v>
      </c>
      <c r="C198" s="1" t="n">
        <v>45976</v>
      </c>
      <c r="D198" t="inlineStr">
        <is>
          <t>NORRBOTTENS LÄN</t>
        </is>
      </c>
      <c r="E198" t="inlineStr">
        <is>
          <t>ÄLVSBYN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31157-2025</t>
        </is>
      </c>
      <c r="B199" s="1" t="n">
        <v>45832.65146990741</v>
      </c>
      <c r="C199" s="1" t="n">
        <v>45976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15959-2024</t>
        </is>
      </c>
      <c r="B200" s="1" t="n">
        <v>45405</v>
      </c>
      <c r="C200" s="1" t="n">
        <v>45976</v>
      </c>
      <c r="D200" t="inlineStr">
        <is>
          <t>NORRBOTTENS LÄN</t>
        </is>
      </c>
      <c r="E200" t="inlineStr">
        <is>
          <t>ÄLVSBYN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62406-2023</t>
        </is>
      </c>
      <c r="B201" s="1" t="n">
        <v>45266</v>
      </c>
      <c r="C201" s="1" t="n">
        <v>45976</v>
      </c>
      <c r="D201" t="inlineStr">
        <is>
          <t>NORRBOTTENS LÄN</t>
        </is>
      </c>
      <c r="E201" t="inlineStr">
        <is>
          <t>ÄLVSBYN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48742-2022</t>
        </is>
      </c>
      <c r="B202" s="1" t="n">
        <v>44855</v>
      </c>
      <c r="C202" s="1" t="n">
        <v>45976</v>
      </c>
      <c r="D202" t="inlineStr">
        <is>
          <t>NORRBOTTENS LÄN</t>
        </is>
      </c>
      <c r="E202" t="inlineStr">
        <is>
          <t>ÄLVSBYN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39378-2023</t>
        </is>
      </c>
      <c r="B203" s="1" t="n">
        <v>45166.6403125</v>
      </c>
      <c r="C203" s="1" t="n">
        <v>45976</v>
      </c>
      <c r="D203" t="inlineStr">
        <is>
          <t>NORRBOTTENS LÄN</t>
        </is>
      </c>
      <c r="E203" t="inlineStr">
        <is>
          <t>ÄLVSBYN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4928-2025</t>
        </is>
      </c>
      <c r="B204" s="1" t="n">
        <v>45688.68462962963</v>
      </c>
      <c r="C204" s="1" t="n">
        <v>45976</v>
      </c>
      <c r="D204" t="inlineStr">
        <is>
          <t>NORRBOTTENS LÄN</t>
        </is>
      </c>
      <c r="E204" t="inlineStr">
        <is>
          <t>ÄLVSBYN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48846-2025</t>
        </is>
      </c>
      <c r="B205" s="1" t="n">
        <v>45937</v>
      </c>
      <c r="C205" s="1" t="n">
        <v>45976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49395-2025</t>
        </is>
      </c>
      <c r="B206" s="1" t="n">
        <v>45938</v>
      </c>
      <c r="C206" s="1" t="n">
        <v>45976</v>
      </c>
      <c r="D206" t="inlineStr">
        <is>
          <t>NORRBOTTENS LÄN</t>
        </is>
      </c>
      <c r="E206" t="inlineStr">
        <is>
          <t>ÄLVSBYN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8551-2025</t>
        </is>
      </c>
      <c r="B207" s="1" t="n">
        <v>45709</v>
      </c>
      <c r="C207" s="1" t="n">
        <v>45976</v>
      </c>
      <c r="D207" t="inlineStr">
        <is>
          <t>NORRBOTTENS LÄN</t>
        </is>
      </c>
      <c r="E207" t="inlineStr">
        <is>
          <t>ÄLVSBYN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8554-2025</t>
        </is>
      </c>
      <c r="B208" s="1" t="n">
        <v>45709</v>
      </c>
      <c r="C208" s="1" t="n">
        <v>45976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15251-2023</t>
        </is>
      </c>
      <c r="B209" s="1" t="n">
        <v>45016</v>
      </c>
      <c r="C209" s="1" t="n">
        <v>45976</v>
      </c>
      <c r="D209" t="inlineStr">
        <is>
          <t>NORRBOTTENS LÄN</t>
        </is>
      </c>
      <c r="E209" t="inlineStr">
        <is>
          <t>ÄLVSBYN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49151-2025</t>
        </is>
      </c>
      <c r="B210" s="1" t="n">
        <v>45938.34246527778</v>
      </c>
      <c r="C210" s="1" t="n">
        <v>45976</v>
      </c>
      <c r="D210" t="inlineStr">
        <is>
          <t>NORRBOTTENS LÄN</t>
        </is>
      </c>
      <c r="E210" t="inlineStr">
        <is>
          <t>ÄLVSBYN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4929-2025</t>
        </is>
      </c>
      <c r="B211" s="1" t="n">
        <v>45688.68466435185</v>
      </c>
      <c r="C211" s="1" t="n">
        <v>45976</v>
      </c>
      <c r="D211" t="inlineStr">
        <is>
          <t>NORRBOTTENS LÄN</t>
        </is>
      </c>
      <c r="E211" t="inlineStr">
        <is>
          <t>ÄLVSBYN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33823-2021</t>
        </is>
      </c>
      <c r="B212" s="1" t="n">
        <v>44378</v>
      </c>
      <c r="C212" s="1" t="n">
        <v>45976</v>
      </c>
      <c r="D212" t="inlineStr">
        <is>
          <t>NORRBOTTENS LÄN</t>
        </is>
      </c>
      <c r="E212" t="inlineStr">
        <is>
          <t>ÄLVSBYN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8552-2025</t>
        </is>
      </c>
      <c r="B213" s="1" t="n">
        <v>45709</v>
      </c>
      <c r="C213" s="1" t="n">
        <v>45976</v>
      </c>
      <c r="D213" t="inlineStr">
        <is>
          <t>NORRBOTTENS LÄN</t>
        </is>
      </c>
      <c r="E213" t="inlineStr">
        <is>
          <t>ÄLVSBYN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8553-2025</t>
        </is>
      </c>
      <c r="B214" s="1" t="n">
        <v>45709</v>
      </c>
      <c r="C214" s="1" t="n">
        <v>45976</v>
      </c>
      <c r="D214" t="inlineStr">
        <is>
          <t>NORRBOTTENS LÄN</t>
        </is>
      </c>
      <c r="E214" t="inlineStr">
        <is>
          <t>ÄLVSBYN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40509-2025</t>
        </is>
      </c>
      <c r="B215" s="1" t="n">
        <v>45896.34483796296</v>
      </c>
      <c r="C215" s="1" t="n">
        <v>45976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55181-2024</t>
        </is>
      </c>
      <c r="B216" s="1" t="n">
        <v>45621.53268518519</v>
      </c>
      <c r="C216" s="1" t="n">
        <v>45976</v>
      </c>
      <c r="D216" t="inlineStr">
        <is>
          <t>NORRBOTTENS LÄN</t>
        </is>
      </c>
      <c r="E216" t="inlineStr">
        <is>
          <t>ÄLVSBYN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28755-2023</t>
        </is>
      </c>
      <c r="B217" s="1" t="n">
        <v>45103.9419212963</v>
      </c>
      <c r="C217" s="1" t="n">
        <v>45976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15255-2023</t>
        </is>
      </c>
      <c r="B218" s="1" t="n">
        <v>45016</v>
      </c>
      <c r="C218" s="1" t="n">
        <v>45976</v>
      </c>
      <c r="D218" t="inlineStr">
        <is>
          <t>NORRBOTTENS LÄN</t>
        </is>
      </c>
      <c r="E218" t="inlineStr">
        <is>
          <t>ÄLVSBYN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48522-2025</t>
        </is>
      </c>
      <c r="B219" s="1" t="n">
        <v>45936</v>
      </c>
      <c r="C219" s="1" t="n">
        <v>45976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49323-2025</t>
        </is>
      </c>
      <c r="B220" s="1" t="n">
        <v>45938.57365740741</v>
      </c>
      <c r="C220" s="1" t="n">
        <v>45976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47391-2024</t>
        </is>
      </c>
      <c r="B221" s="1" t="n">
        <v>45587.47009259259</v>
      </c>
      <c r="C221" s="1" t="n">
        <v>45976</v>
      </c>
      <c r="D221" t="inlineStr">
        <is>
          <t>NORRBOTTENS LÄN</t>
        </is>
      </c>
      <c r="E221" t="inlineStr">
        <is>
          <t>ÄLVSBYN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40506-2025</t>
        </is>
      </c>
      <c r="B222" s="1" t="n">
        <v>45896</v>
      </c>
      <c r="C222" s="1" t="n">
        <v>45976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60589-2024</t>
        </is>
      </c>
      <c r="B223" s="1" t="n">
        <v>45642</v>
      </c>
      <c r="C223" s="1" t="n">
        <v>45976</v>
      </c>
      <c r="D223" t="inlineStr">
        <is>
          <t>NORRBOTTENS LÄN</t>
        </is>
      </c>
      <c r="E223" t="inlineStr">
        <is>
          <t>ÄLVSBYN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39604-2024</t>
        </is>
      </c>
      <c r="B224" s="1" t="n">
        <v>45552.38583333333</v>
      </c>
      <c r="C224" s="1" t="n">
        <v>45976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9631-2022</t>
        </is>
      </c>
      <c r="B225" s="1" t="n">
        <v>44617</v>
      </c>
      <c r="C225" s="1" t="n">
        <v>45976</v>
      </c>
      <c r="D225" t="inlineStr">
        <is>
          <t>NORRBOTTENS LÄN</t>
        </is>
      </c>
      <c r="E225" t="inlineStr">
        <is>
          <t>ÄLVSBYN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9643-2022</t>
        </is>
      </c>
      <c r="B226" s="1" t="n">
        <v>44617</v>
      </c>
      <c r="C226" s="1" t="n">
        <v>45976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5455-2021</t>
        </is>
      </c>
      <c r="B227" s="1" t="n">
        <v>44229</v>
      </c>
      <c r="C227" s="1" t="n">
        <v>45976</v>
      </c>
      <c r="D227" t="inlineStr">
        <is>
          <t>NORRBOTTENS LÄN</t>
        </is>
      </c>
      <c r="E227" t="inlineStr">
        <is>
          <t>ÄLVSBYN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49398-2025</t>
        </is>
      </c>
      <c r="B228" s="1" t="n">
        <v>45938</v>
      </c>
      <c r="C228" s="1" t="n">
        <v>45976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49402-2025</t>
        </is>
      </c>
      <c r="B229" s="1" t="n">
        <v>45938</v>
      </c>
      <c r="C229" s="1" t="n">
        <v>45976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41284-2025</t>
        </is>
      </c>
      <c r="B230" s="1" t="n">
        <v>45898.63592592593</v>
      </c>
      <c r="C230" s="1" t="n">
        <v>45976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32905-2024</t>
        </is>
      </c>
      <c r="B231" s="1" t="n">
        <v>45516</v>
      </c>
      <c r="C231" s="1" t="n">
        <v>45976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15389-2025</t>
        </is>
      </c>
      <c r="B232" s="1" t="n">
        <v>45747</v>
      </c>
      <c r="C232" s="1" t="n">
        <v>45976</v>
      </c>
      <c r="D232" t="inlineStr">
        <is>
          <t>NORRBOTTENS LÄN</t>
        </is>
      </c>
      <c r="E232" t="inlineStr">
        <is>
          <t>ÄLVSBYN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5628-2024</t>
        </is>
      </c>
      <c r="B233" s="1" t="n">
        <v>45334</v>
      </c>
      <c r="C233" s="1" t="n">
        <v>45976</v>
      </c>
      <c r="D233" t="inlineStr">
        <is>
          <t>NORRBOTTENS LÄN</t>
        </is>
      </c>
      <c r="E233" t="inlineStr">
        <is>
          <t>ÄLVSBYN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5650-2024</t>
        </is>
      </c>
      <c r="B234" s="1" t="n">
        <v>45334</v>
      </c>
      <c r="C234" s="1" t="n">
        <v>45976</v>
      </c>
      <c r="D234" t="inlineStr">
        <is>
          <t>NORRBOTTENS LÄN</t>
        </is>
      </c>
      <c r="E234" t="inlineStr">
        <is>
          <t>ÄLVSBYN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45724-2024</t>
        </is>
      </c>
      <c r="B235" s="1" t="n">
        <v>45579.5946875</v>
      </c>
      <c r="C235" s="1" t="n">
        <v>45976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20243-2025</t>
        </is>
      </c>
      <c r="B236" s="1" t="n">
        <v>45772</v>
      </c>
      <c r="C236" s="1" t="n">
        <v>45976</v>
      </c>
      <c r="D236" t="inlineStr">
        <is>
          <t>NORRBOTTENS LÄN</t>
        </is>
      </c>
      <c r="E236" t="inlineStr">
        <is>
          <t>ÄLVSBYN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13329-2025</t>
        </is>
      </c>
      <c r="B237" s="1" t="n">
        <v>45735</v>
      </c>
      <c r="C237" s="1" t="n">
        <v>45976</v>
      </c>
      <c r="D237" t="inlineStr">
        <is>
          <t>NORRBOTTENS LÄN</t>
        </is>
      </c>
      <c r="E237" t="inlineStr">
        <is>
          <t>ÄLVSBYN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12950-2021</t>
        </is>
      </c>
      <c r="B238" s="1" t="n">
        <v>44271</v>
      </c>
      <c r="C238" s="1" t="n">
        <v>45976</v>
      </c>
      <c r="D238" t="inlineStr">
        <is>
          <t>NORRBOTTENS LÄN</t>
        </is>
      </c>
      <c r="E238" t="inlineStr">
        <is>
          <t>ÄLVSBYN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30690-2024</t>
        </is>
      </c>
      <c r="B239" s="1" t="n">
        <v>45495</v>
      </c>
      <c r="C239" s="1" t="n">
        <v>45976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20753-2025</t>
        </is>
      </c>
      <c r="B240" s="1" t="n">
        <v>45776</v>
      </c>
      <c r="C240" s="1" t="n">
        <v>45976</v>
      </c>
      <c r="D240" t="inlineStr">
        <is>
          <t>NORRBOTTENS LÄN</t>
        </is>
      </c>
      <c r="E240" t="inlineStr">
        <is>
          <t>ÄLVSBYN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51684-2024</t>
        </is>
      </c>
      <c r="B241" s="1" t="n">
        <v>45607</v>
      </c>
      <c r="C241" s="1" t="n">
        <v>45976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50467-2025</t>
        </is>
      </c>
      <c r="B242" s="1" t="n">
        <v>45945.35767361111</v>
      </c>
      <c r="C242" s="1" t="n">
        <v>45976</v>
      </c>
      <c r="D242" t="inlineStr">
        <is>
          <t>NORRBOTTENS LÄN</t>
        </is>
      </c>
      <c r="E242" t="inlineStr">
        <is>
          <t>ÄLVSBYN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5069-2025</t>
        </is>
      </c>
      <c r="B243" s="1" t="n">
        <v>45691</v>
      </c>
      <c r="C243" s="1" t="n">
        <v>45976</v>
      </c>
      <c r="D243" t="inlineStr">
        <is>
          <t>NORRBOTTENS LÄN</t>
        </is>
      </c>
      <c r="E243" t="inlineStr">
        <is>
          <t>ÄLVSBYN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39551-2023</t>
        </is>
      </c>
      <c r="B244" s="1" t="n">
        <v>45167.3790162037</v>
      </c>
      <c r="C244" s="1" t="n">
        <v>45976</v>
      </c>
      <c r="D244" t="inlineStr">
        <is>
          <t>NORRBOTTENS LÄN</t>
        </is>
      </c>
      <c r="E244" t="inlineStr">
        <is>
          <t>ÄLVSBYN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7289-2024</t>
        </is>
      </c>
      <c r="B245" s="1" t="n">
        <v>45344</v>
      </c>
      <c r="C245" s="1" t="n">
        <v>45976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50375-2023</t>
        </is>
      </c>
      <c r="B246" s="1" t="n">
        <v>45216</v>
      </c>
      <c r="C246" s="1" t="n">
        <v>45976</v>
      </c>
      <c r="D246" t="inlineStr">
        <is>
          <t>NORRBOTTENS LÄN</t>
        </is>
      </c>
      <c r="E246" t="inlineStr">
        <is>
          <t>ÄLVSBYN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46404-2023</t>
        </is>
      </c>
      <c r="B247" s="1" t="n">
        <v>45194</v>
      </c>
      <c r="C247" s="1" t="n">
        <v>45976</v>
      </c>
      <c r="D247" t="inlineStr">
        <is>
          <t>NORRBOTTENS LÄN</t>
        </is>
      </c>
      <c r="E247" t="inlineStr">
        <is>
          <t>ÄLVSBYN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50778-2025</t>
        </is>
      </c>
      <c r="B248" s="1" t="n">
        <v>45946.45390046296</v>
      </c>
      <c r="C248" s="1" t="n">
        <v>45976</v>
      </c>
      <c r="D248" t="inlineStr">
        <is>
          <t>NORRBOTTENS LÄN</t>
        </is>
      </c>
      <c r="E248" t="inlineStr">
        <is>
          <t>ÄLVSBYN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9623-2022</t>
        </is>
      </c>
      <c r="B249" s="1" t="n">
        <v>44617</v>
      </c>
      <c r="C249" s="1" t="n">
        <v>45976</v>
      </c>
      <c r="D249" t="inlineStr">
        <is>
          <t>NORRBOTTENS LÄN</t>
        </is>
      </c>
      <c r="E249" t="inlineStr">
        <is>
          <t>ÄLVSBYN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22810-2024</t>
        </is>
      </c>
      <c r="B250" s="1" t="n">
        <v>45448</v>
      </c>
      <c r="C250" s="1" t="n">
        <v>45976</v>
      </c>
      <c r="D250" t="inlineStr">
        <is>
          <t>NORRBOTTENS LÄN</t>
        </is>
      </c>
      <c r="E250" t="inlineStr">
        <is>
          <t>ÄLVSBYN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24922-2023</t>
        </is>
      </c>
      <c r="B251" s="1" t="n">
        <v>45078</v>
      </c>
      <c r="C251" s="1" t="n">
        <v>45976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60773-2024</t>
        </is>
      </c>
      <c r="B252" s="1" t="n">
        <v>45644.58398148148</v>
      </c>
      <c r="C252" s="1" t="n">
        <v>45976</v>
      </c>
      <c r="D252" t="inlineStr">
        <is>
          <t>NORRBOTTENS LÄN</t>
        </is>
      </c>
      <c r="E252" t="inlineStr">
        <is>
          <t>ÄLVSBYN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42141-2025</t>
        </is>
      </c>
      <c r="B253" s="1" t="n">
        <v>45904.36495370371</v>
      </c>
      <c r="C253" s="1" t="n">
        <v>45976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14449-2025</t>
        </is>
      </c>
      <c r="B254" s="1" t="n">
        <v>45741</v>
      </c>
      <c r="C254" s="1" t="n">
        <v>45976</v>
      </c>
      <c r="D254" t="inlineStr">
        <is>
          <t>NORRBOTTENS LÄN</t>
        </is>
      </c>
      <c r="E254" t="inlineStr">
        <is>
          <t>ÄLVSBYN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36861-2025</t>
        </is>
      </c>
      <c r="B255" s="1" t="n">
        <v>45874</v>
      </c>
      <c r="C255" s="1" t="n">
        <v>45976</v>
      </c>
      <c r="D255" t="inlineStr">
        <is>
          <t>NORRBOTTENS LÄN</t>
        </is>
      </c>
      <c r="E255" t="inlineStr">
        <is>
          <t>ÄLVSBYN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73774-2021</t>
        </is>
      </c>
      <c r="B256" s="1" t="n">
        <v>44552</v>
      </c>
      <c r="C256" s="1" t="n">
        <v>45976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57214-2022</t>
        </is>
      </c>
      <c r="B257" s="1" t="n">
        <v>44895.65135416666</v>
      </c>
      <c r="C257" s="1" t="n">
        <v>45976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21895-2023</t>
        </is>
      </c>
      <c r="B258" s="1" t="n">
        <v>45068.51972222222</v>
      </c>
      <c r="C258" s="1" t="n">
        <v>45976</v>
      </c>
      <c r="D258" t="inlineStr">
        <is>
          <t>NORRBOTTENS LÄN</t>
        </is>
      </c>
      <c r="E258" t="inlineStr">
        <is>
          <t>ÄLVSBYN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58448-2023</t>
        </is>
      </c>
      <c r="B259" s="1" t="n">
        <v>45250</v>
      </c>
      <c r="C259" s="1" t="n">
        <v>45976</v>
      </c>
      <c r="D259" t="inlineStr">
        <is>
          <t>NORRBOTTENS LÄN</t>
        </is>
      </c>
      <c r="E259" t="inlineStr">
        <is>
          <t>ÄLVSBYN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58450-2023</t>
        </is>
      </c>
      <c r="B260" s="1" t="n">
        <v>45250</v>
      </c>
      <c r="C260" s="1" t="n">
        <v>45976</v>
      </c>
      <c r="D260" t="inlineStr">
        <is>
          <t>NORRBOTTENS LÄN</t>
        </is>
      </c>
      <c r="E260" t="inlineStr">
        <is>
          <t>ÄLVSBYN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60403-2022</t>
        </is>
      </c>
      <c r="B261" s="1" t="n">
        <v>44910.92222222222</v>
      </c>
      <c r="C261" s="1" t="n">
        <v>45976</v>
      </c>
      <c r="D261" t="inlineStr">
        <is>
          <t>NORRBOTTENS LÄN</t>
        </is>
      </c>
      <c r="E261" t="inlineStr">
        <is>
          <t>ÄLVSBYN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20254-2024</t>
        </is>
      </c>
      <c r="B262" s="1" t="n">
        <v>45434</v>
      </c>
      <c r="C262" s="1" t="n">
        <v>45976</v>
      </c>
      <c r="D262" t="inlineStr">
        <is>
          <t>NORRBOTTENS LÄN</t>
        </is>
      </c>
      <c r="E262" t="inlineStr">
        <is>
          <t>ÄLVSBYN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2293-2023</t>
        </is>
      </c>
      <c r="B263" s="1" t="n">
        <v>44942</v>
      </c>
      <c r="C263" s="1" t="n">
        <v>45976</v>
      </c>
      <c r="D263" t="inlineStr">
        <is>
          <t>NORRBOTTENS LÄN</t>
        </is>
      </c>
      <c r="E263" t="inlineStr">
        <is>
          <t>ÄLVSBYN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51962-2025</t>
        </is>
      </c>
      <c r="B264" s="1" t="n">
        <v>45952.55248842593</v>
      </c>
      <c r="C264" s="1" t="n">
        <v>45976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20879-2025</t>
        </is>
      </c>
      <c r="B265" s="1" t="n">
        <v>45777</v>
      </c>
      <c r="C265" s="1" t="n">
        <v>45976</v>
      </c>
      <c r="D265" t="inlineStr">
        <is>
          <t>NORRBOTTENS LÄN</t>
        </is>
      </c>
      <c r="E265" t="inlineStr">
        <is>
          <t>ÄLVSBYN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47121-2022</t>
        </is>
      </c>
      <c r="B266" s="1" t="n">
        <v>44851</v>
      </c>
      <c r="C266" s="1" t="n">
        <v>45976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45302-2024</t>
        </is>
      </c>
      <c r="B267" s="1" t="n">
        <v>45576</v>
      </c>
      <c r="C267" s="1" t="n">
        <v>45976</v>
      </c>
      <c r="D267" t="inlineStr">
        <is>
          <t>NORRBOTTENS LÄN</t>
        </is>
      </c>
      <c r="E267" t="inlineStr">
        <is>
          <t>ÄLVSBYN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47371-2024</t>
        </is>
      </c>
      <c r="B268" s="1" t="n">
        <v>45587</v>
      </c>
      <c r="C268" s="1" t="n">
        <v>45976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28757-2023</t>
        </is>
      </c>
      <c r="B269" s="1" t="n">
        <v>45103</v>
      </c>
      <c r="C269" s="1" t="n">
        <v>45976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52397-2023</t>
        </is>
      </c>
      <c r="B270" s="1" t="n">
        <v>45224</v>
      </c>
      <c r="C270" s="1" t="n">
        <v>45976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46406-2023</t>
        </is>
      </c>
      <c r="B271" s="1" t="n">
        <v>45194</v>
      </c>
      <c r="C271" s="1" t="n">
        <v>45976</v>
      </c>
      <c r="D271" t="inlineStr">
        <is>
          <t>NORRBOTTENS LÄN</t>
        </is>
      </c>
      <c r="E271" t="inlineStr">
        <is>
          <t>ÄLVSBYN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52265-2025</t>
        </is>
      </c>
      <c r="B272" s="1" t="n">
        <v>45953.53173611111</v>
      </c>
      <c r="C272" s="1" t="n">
        <v>45976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9634-2022</t>
        </is>
      </c>
      <c r="B273" s="1" t="n">
        <v>44617</v>
      </c>
      <c r="C273" s="1" t="n">
        <v>45976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41989-2024</t>
        </is>
      </c>
      <c r="B274" s="1" t="n">
        <v>45561.63650462963</v>
      </c>
      <c r="C274" s="1" t="n">
        <v>45976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52985-2025</t>
        </is>
      </c>
      <c r="B275" s="1" t="n">
        <v>45957.69834490741</v>
      </c>
      <c r="C275" s="1" t="n">
        <v>45976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60351-2022</t>
        </is>
      </c>
      <c r="B276" s="1" t="n">
        <v>44910</v>
      </c>
      <c r="C276" s="1" t="n">
        <v>45976</v>
      </c>
      <c r="D276" t="inlineStr">
        <is>
          <t>NORRBOTTENS LÄN</t>
        </is>
      </c>
      <c r="E276" t="inlineStr">
        <is>
          <t>ÄLVSBYN</t>
        </is>
      </c>
      <c r="G276" t="n">
        <v>23.4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32966-2023</t>
        </is>
      </c>
      <c r="B277" s="1" t="n">
        <v>45125.54148148148</v>
      </c>
      <c r="C277" s="1" t="n">
        <v>45976</v>
      </c>
      <c r="D277" t="inlineStr">
        <is>
          <t>NORRBOTTENS LÄN</t>
        </is>
      </c>
      <c r="E277" t="inlineStr">
        <is>
          <t>ÄLVSBYN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51366-2025</t>
        </is>
      </c>
      <c r="B278" s="1" t="n">
        <v>45950</v>
      </c>
      <c r="C278" s="1" t="n">
        <v>45976</v>
      </c>
      <c r="D278" t="inlineStr">
        <is>
          <t>NORRBOTTENS LÄN</t>
        </is>
      </c>
      <c r="E278" t="inlineStr">
        <is>
          <t>ÄLVSBYN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51163-2025</t>
        </is>
      </c>
      <c r="B279" s="1" t="n">
        <v>45947.594375</v>
      </c>
      <c r="C279" s="1" t="n">
        <v>45976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52868-2025</t>
        </is>
      </c>
      <c r="B280" s="1" t="n">
        <v>45957.51559027778</v>
      </c>
      <c r="C280" s="1" t="n">
        <v>45976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52683-2025</t>
        </is>
      </c>
      <c r="B281" s="1" t="n">
        <v>45956.34509259259</v>
      </c>
      <c r="C281" s="1" t="n">
        <v>45976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19142-2023</t>
        </is>
      </c>
      <c r="B282" s="1" t="n">
        <v>45044</v>
      </c>
      <c r="C282" s="1" t="n">
        <v>45976</v>
      </c>
      <c r="D282" t="inlineStr">
        <is>
          <t>NORRBOTTENS LÄN</t>
        </is>
      </c>
      <c r="E282" t="inlineStr">
        <is>
          <t>ÄLVSBYN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52878-2025</t>
        </is>
      </c>
      <c r="B283" s="1" t="n">
        <v>45957</v>
      </c>
      <c r="C283" s="1" t="n">
        <v>45976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20166-2025</t>
        </is>
      </c>
      <c r="B284" s="1" t="n">
        <v>45772</v>
      </c>
      <c r="C284" s="1" t="n">
        <v>45976</v>
      </c>
      <c r="D284" t="inlineStr">
        <is>
          <t>NORRBOTTENS LÄN</t>
        </is>
      </c>
      <c r="E284" t="inlineStr">
        <is>
          <t>ÄLVSBYN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21990-2025</t>
        </is>
      </c>
      <c r="B285" s="1" t="n">
        <v>45784</v>
      </c>
      <c r="C285" s="1" t="n">
        <v>45976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50672-2024</t>
        </is>
      </c>
      <c r="B286" s="1" t="n">
        <v>45601</v>
      </c>
      <c r="C286" s="1" t="n">
        <v>45976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44500-2025</t>
        </is>
      </c>
      <c r="B287" s="1" t="n">
        <v>45916.67736111111</v>
      </c>
      <c r="C287" s="1" t="n">
        <v>45976</v>
      </c>
      <c r="D287" t="inlineStr">
        <is>
          <t>NORRBOTTENS LÄN</t>
        </is>
      </c>
      <c r="E287" t="inlineStr">
        <is>
          <t>ÄLVSBYN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44375-2025</t>
        </is>
      </c>
      <c r="B288" s="1" t="n">
        <v>45916.47452546296</v>
      </c>
      <c r="C288" s="1" t="n">
        <v>45976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8334-2025</t>
        </is>
      </c>
      <c r="B289" s="1" t="n">
        <v>45708</v>
      </c>
      <c r="C289" s="1" t="n">
        <v>45976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44378-2025</t>
        </is>
      </c>
      <c r="B290" s="1" t="n">
        <v>45916.47724537037</v>
      </c>
      <c r="C290" s="1" t="n">
        <v>45976</v>
      </c>
      <c r="D290" t="inlineStr">
        <is>
          <t>NORRBOTTENS LÄN</t>
        </is>
      </c>
      <c r="E290" t="inlineStr">
        <is>
          <t>ÄLVSBYN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44409-2025</t>
        </is>
      </c>
      <c r="B291" s="1" t="n">
        <v>45916</v>
      </c>
      <c r="C291" s="1" t="n">
        <v>45976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28862-2024</t>
        </is>
      </c>
      <c r="B292" s="1" t="n">
        <v>45478.92890046296</v>
      </c>
      <c r="C292" s="1" t="n">
        <v>45976</v>
      </c>
      <c r="D292" t="inlineStr">
        <is>
          <t>NORRBOTTENS LÄN</t>
        </is>
      </c>
      <c r="E292" t="inlineStr">
        <is>
          <t>ÄLVSBYN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53648-2025</t>
        </is>
      </c>
      <c r="B293" s="1" t="n">
        <v>45960.52081018518</v>
      </c>
      <c r="C293" s="1" t="n">
        <v>45976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53957-2025</t>
        </is>
      </c>
      <c r="B294" s="1" t="n">
        <v>45961.52736111111</v>
      </c>
      <c r="C294" s="1" t="n">
        <v>45976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62696-2023</t>
        </is>
      </c>
      <c r="B295" s="1" t="n">
        <v>45271</v>
      </c>
      <c r="C295" s="1" t="n">
        <v>45976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45182-2025</t>
        </is>
      </c>
      <c r="B296" s="1" t="n">
        <v>45919</v>
      </c>
      <c r="C296" s="1" t="n">
        <v>45976</v>
      </c>
      <c r="D296" t="inlineStr">
        <is>
          <t>NORRBOTTENS LÄN</t>
        </is>
      </c>
      <c r="E296" t="inlineStr">
        <is>
          <t>ÄLVSBYN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53955-2025</t>
        </is>
      </c>
      <c r="B297" s="1" t="n">
        <v>45961.52090277777</v>
      </c>
      <c r="C297" s="1" t="n">
        <v>45976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45186-2025</t>
        </is>
      </c>
      <c r="B298" s="1" t="n">
        <v>45919</v>
      </c>
      <c r="C298" s="1" t="n">
        <v>45976</v>
      </c>
      <c r="D298" t="inlineStr">
        <is>
          <t>NORRBOTTENS LÄN</t>
        </is>
      </c>
      <c r="E298" t="inlineStr">
        <is>
          <t>ÄLVSBYN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45066-2025</t>
        </is>
      </c>
      <c r="B299" s="1" t="n">
        <v>45919.34554398148</v>
      </c>
      <c r="C299" s="1" t="n">
        <v>45976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22-2023</t>
        </is>
      </c>
      <c r="B300" s="1" t="n">
        <v>44918</v>
      </c>
      <c r="C300" s="1" t="n">
        <v>45976</v>
      </c>
      <c r="D300" t="inlineStr">
        <is>
          <t>NORRBOTTENS LÄN</t>
        </is>
      </c>
      <c r="E300" t="inlineStr">
        <is>
          <t>ÄLVSBYN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43-2023</t>
        </is>
      </c>
      <c r="B301" s="1" t="n">
        <v>44918</v>
      </c>
      <c r="C301" s="1" t="n">
        <v>45976</v>
      </c>
      <c r="D301" t="inlineStr">
        <is>
          <t>NORRBOTTENS LÄN</t>
        </is>
      </c>
      <c r="E301" t="inlineStr">
        <is>
          <t>ÄLVSBYN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23172-2025</t>
        </is>
      </c>
      <c r="B302" s="1" t="n">
        <v>45791.42792824074</v>
      </c>
      <c r="C302" s="1" t="n">
        <v>45976</v>
      </c>
      <c r="D302" t="inlineStr">
        <is>
          <t>NORRBOTTENS LÄN</t>
        </is>
      </c>
      <c r="E302" t="inlineStr">
        <is>
          <t>ÄLVSBYN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23336-2025</t>
        </is>
      </c>
      <c r="B303" s="1" t="n">
        <v>45791.65248842593</v>
      </c>
      <c r="C303" s="1" t="n">
        <v>45976</v>
      </c>
      <c r="D303" t="inlineStr">
        <is>
          <t>NORRBOTTENS LÄN</t>
        </is>
      </c>
      <c r="E303" t="inlineStr">
        <is>
          <t>ÄLVSBYN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53672-2025</t>
        </is>
      </c>
      <c r="B304" s="1" t="n">
        <v>45960</v>
      </c>
      <c r="C304" s="1" t="n">
        <v>45976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54317-2023</t>
        </is>
      </c>
      <c r="B305" s="1" t="n">
        <v>45232</v>
      </c>
      <c r="C305" s="1" t="n">
        <v>45976</v>
      </c>
      <c r="D305" t="inlineStr">
        <is>
          <t>NORRBOTTENS LÄN</t>
        </is>
      </c>
      <c r="E305" t="inlineStr">
        <is>
          <t>ÄLVSBYN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53840-2025</t>
        </is>
      </c>
      <c r="B306" s="1" t="n">
        <v>45961.35986111111</v>
      </c>
      <c r="C306" s="1" t="n">
        <v>45976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53624-2025</t>
        </is>
      </c>
      <c r="B307" s="1" t="n">
        <v>45960</v>
      </c>
      <c r="C307" s="1" t="n">
        <v>45976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23411-2025</t>
        </is>
      </c>
      <c r="B308" s="1" t="n">
        <v>45792</v>
      </c>
      <c r="C308" s="1" t="n">
        <v>45976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46786-2024</t>
        </is>
      </c>
      <c r="B309" s="1" t="n">
        <v>45583</v>
      </c>
      <c r="C309" s="1" t="n">
        <v>45976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54175-2025</t>
        </is>
      </c>
      <c r="B310" s="1" t="n">
        <v>45964.54909722223</v>
      </c>
      <c r="C310" s="1" t="n">
        <v>45976</v>
      </c>
      <c r="D310" t="inlineStr">
        <is>
          <t>NORRBOTTENS LÄN</t>
        </is>
      </c>
      <c r="E310" t="inlineStr">
        <is>
          <t>ÄLVSBYN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51068-2025</t>
        </is>
      </c>
      <c r="B311" s="1" t="n">
        <v>45947</v>
      </c>
      <c r="C311" s="1" t="n">
        <v>45976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39020-2024</t>
        </is>
      </c>
      <c r="B312" s="1" t="n">
        <v>45548</v>
      </c>
      <c r="C312" s="1" t="n">
        <v>45976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46401-2025</t>
        </is>
      </c>
      <c r="B313" s="1" t="n">
        <v>45925.55935185185</v>
      </c>
      <c r="C313" s="1" t="n">
        <v>45976</v>
      </c>
      <c r="D313" t="inlineStr">
        <is>
          <t>NORRBOTTENS LÄN</t>
        </is>
      </c>
      <c r="E313" t="inlineStr">
        <is>
          <t>ÄLVSBYN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45976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34448-2024</t>
        </is>
      </c>
      <c r="B315" s="1" t="n">
        <v>45525</v>
      </c>
      <c r="C315" s="1" t="n">
        <v>45976</v>
      </c>
      <c r="D315" t="inlineStr">
        <is>
          <t>NORRBOTTENS LÄN</t>
        </is>
      </c>
      <c r="E315" t="inlineStr">
        <is>
          <t>ÄLVSBYN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46400-2025</t>
        </is>
      </c>
      <c r="B316" s="1" t="n">
        <v>45925.55700231482</v>
      </c>
      <c r="C316" s="1" t="n">
        <v>45976</v>
      </c>
      <c r="D316" t="inlineStr">
        <is>
          <t>NORRBOTTENS LÄN</t>
        </is>
      </c>
      <c r="E316" t="inlineStr">
        <is>
          <t>ÄLVSBYN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59826-2024</t>
        </is>
      </c>
      <c r="B317" s="1" t="n">
        <v>45639</v>
      </c>
      <c r="C317" s="1" t="n">
        <v>45976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46392-2025</t>
        </is>
      </c>
      <c r="B318" s="1" t="n">
        <v>45925.54362268518</v>
      </c>
      <c r="C318" s="1" t="n">
        <v>45976</v>
      </c>
      <c r="D318" t="inlineStr">
        <is>
          <t>NORRBOTTENS LÄN</t>
        </is>
      </c>
      <c r="E318" t="inlineStr">
        <is>
          <t>ÄLVSBYN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53638-2025</t>
        </is>
      </c>
      <c r="B319" s="1" t="n">
        <v>45960.50393518519</v>
      </c>
      <c r="C319" s="1" t="n">
        <v>45976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24716-2025</t>
        </is>
      </c>
      <c r="B320" s="1" t="n">
        <v>45798.99405092592</v>
      </c>
      <c r="C320" s="1" t="n">
        <v>45976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53644-2025</t>
        </is>
      </c>
      <c r="B321" s="1" t="n">
        <v>45960.51831018519</v>
      </c>
      <c r="C321" s="1" t="n">
        <v>45976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21545-2025</t>
        </is>
      </c>
      <c r="B322" s="1" t="n">
        <v>45782</v>
      </c>
      <c r="C322" s="1" t="n">
        <v>45976</v>
      </c>
      <c r="D322" t="inlineStr">
        <is>
          <t>NORRBOTTENS LÄN</t>
        </is>
      </c>
      <c r="E322" t="inlineStr">
        <is>
          <t>ÄLVSBYN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25622-2025</t>
        </is>
      </c>
      <c r="B323" s="1" t="n">
        <v>45803.57784722222</v>
      </c>
      <c r="C323" s="1" t="n">
        <v>45976</v>
      </c>
      <c r="D323" t="inlineStr">
        <is>
          <t>NORRBOTTENS LÄN</t>
        </is>
      </c>
      <c r="E323" t="inlineStr">
        <is>
          <t>ÄLVSBYN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1238-2024</t>
        </is>
      </c>
      <c r="B324" s="1" t="n">
        <v>45302</v>
      </c>
      <c r="C324" s="1" t="n">
        <v>45976</v>
      </c>
      <c r="D324" t="inlineStr">
        <is>
          <t>NORRBOTTENS LÄN</t>
        </is>
      </c>
      <c r="E324" t="inlineStr">
        <is>
          <t>ÄLVSBYN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45959-2025</t>
        </is>
      </c>
      <c r="B325" s="1" t="n">
        <v>45924</v>
      </c>
      <c r="C325" s="1" t="n">
        <v>45976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62880-2023</t>
        </is>
      </c>
      <c r="B326" s="1" t="n">
        <v>45272.3881712963</v>
      </c>
      <c r="C326" s="1" t="n">
        <v>45976</v>
      </c>
      <c r="D326" t="inlineStr">
        <is>
          <t>NORRBOTTENS LÄN</t>
        </is>
      </c>
      <c r="E326" t="inlineStr">
        <is>
          <t>ÄLVSBYN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23136-2024</t>
        </is>
      </c>
      <c r="B327" s="1" t="n">
        <v>45450</v>
      </c>
      <c r="C327" s="1" t="n">
        <v>45976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25621-2025</t>
        </is>
      </c>
      <c r="B328" s="1" t="n">
        <v>45803</v>
      </c>
      <c r="C328" s="1" t="n">
        <v>45976</v>
      </c>
      <c r="D328" t="inlineStr">
        <is>
          <t>NORRBOTTENS LÄN</t>
        </is>
      </c>
      <c r="E328" t="inlineStr">
        <is>
          <t>ÄLVSBYN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21548-2025</t>
        </is>
      </c>
      <c r="B329" s="1" t="n">
        <v>45782</v>
      </c>
      <c r="C329" s="1" t="n">
        <v>45976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31051-2023</t>
        </is>
      </c>
      <c r="B330" s="1" t="n">
        <v>45113</v>
      </c>
      <c r="C330" s="1" t="n">
        <v>45976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24.7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10269-2025</t>
        </is>
      </c>
      <c r="B331" s="1" t="n">
        <v>45720</v>
      </c>
      <c r="C331" s="1" t="n">
        <v>45976</v>
      </c>
      <c r="D331" t="inlineStr">
        <is>
          <t>NORRBOTTENS LÄN</t>
        </is>
      </c>
      <c r="E331" t="inlineStr">
        <is>
          <t>ÄLVSBYN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25947-2025</t>
        </is>
      </c>
      <c r="B332" s="1" t="n">
        <v>45804</v>
      </c>
      <c r="C332" s="1" t="n">
        <v>45976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46981-2025</t>
        </is>
      </c>
      <c r="B333" s="1" t="n">
        <v>45929.53166666667</v>
      </c>
      <c r="C333" s="1" t="n">
        <v>45976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26083-2025</t>
        </is>
      </c>
      <c r="B334" s="1" t="n">
        <v>45805.34427083333</v>
      </c>
      <c r="C334" s="1" t="n">
        <v>45976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51981-2022</t>
        </is>
      </c>
      <c r="B335" s="1" t="n">
        <v>44872</v>
      </c>
      <c r="C335" s="1" t="n">
        <v>45976</v>
      </c>
      <c r="D335" t="inlineStr">
        <is>
          <t>NORRBOTTENS LÄN</t>
        </is>
      </c>
      <c r="E335" t="inlineStr">
        <is>
          <t>ÄLVSBYN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58321-2024</t>
        </is>
      </c>
      <c r="B336" s="1" t="n">
        <v>45632</v>
      </c>
      <c r="C336" s="1" t="n">
        <v>45976</v>
      </c>
      <c r="D336" t="inlineStr">
        <is>
          <t>NORRBOTTENS LÄN</t>
        </is>
      </c>
      <c r="E336" t="inlineStr">
        <is>
          <t>ÄLVSBYN</t>
        </is>
      </c>
      <c r="G336" t="n">
        <v>22.1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26599-2025</t>
        </is>
      </c>
      <c r="B337" s="1" t="n">
        <v>45808</v>
      </c>
      <c r="C337" s="1" t="n">
        <v>45976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50746-2021</t>
        </is>
      </c>
      <c r="B338" s="1" t="n">
        <v>44460</v>
      </c>
      <c r="C338" s="1" t="n">
        <v>45976</v>
      </c>
      <c r="D338" t="inlineStr">
        <is>
          <t>NORRBOTTENS LÄN</t>
        </is>
      </c>
      <c r="E338" t="inlineStr">
        <is>
          <t>ÄLVSBYN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51456-2023</t>
        </is>
      </c>
      <c r="B339" s="1" t="n">
        <v>45220</v>
      </c>
      <c r="C339" s="1" t="n">
        <v>45976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55635-2025</t>
        </is>
      </c>
      <c r="B340" s="1" t="n">
        <v>45972.34483796296</v>
      </c>
      <c r="C340" s="1" t="n">
        <v>45976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26595-2025</t>
        </is>
      </c>
      <c r="B341" s="1" t="n">
        <v>45808.42758101852</v>
      </c>
      <c r="C341" s="1" t="n">
        <v>45976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16473-2025</t>
        </is>
      </c>
      <c r="B342" s="1" t="n">
        <v>45751.55675925926</v>
      </c>
      <c r="C342" s="1" t="n">
        <v>45976</v>
      </c>
      <c r="D342" t="inlineStr">
        <is>
          <t>NORRBOTTENS LÄN</t>
        </is>
      </c>
      <c r="E342" t="inlineStr">
        <is>
          <t>ÄLVSBYN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47527-2025</t>
        </is>
      </c>
      <c r="B343" s="1" t="n">
        <v>45931</v>
      </c>
      <c r="C343" s="1" t="n">
        <v>45976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27280-2025</t>
        </is>
      </c>
      <c r="B344" s="1" t="n">
        <v>45812</v>
      </c>
      <c r="C344" s="1" t="n">
        <v>45976</v>
      </c>
      <c r="D344" t="inlineStr">
        <is>
          <t>NORRBOTTENS LÄN</t>
        </is>
      </c>
      <c r="E344" t="inlineStr">
        <is>
          <t>ÄLVSBYN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55850-2025</t>
        </is>
      </c>
      <c r="B345" s="1" t="n">
        <v>45973.32662037037</v>
      </c>
      <c r="C345" s="1" t="n">
        <v>45976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51794-2023</t>
        </is>
      </c>
      <c r="B346" s="1" t="n">
        <v>45222.92427083333</v>
      </c>
      <c r="C346" s="1" t="n">
        <v>45976</v>
      </c>
      <c r="D346" t="inlineStr">
        <is>
          <t>NORRBOTTENS LÄN</t>
        </is>
      </c>
      <c r="E346" t="inlineStr">
        <is>
          <t>ÄLVSBYN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8741-2025</t>
        </is>
      </c>
      <c r="B347" s="1" t="n">
        <v>45712.55256944444</v>
      </c>
      <c r="C347" s="1" t="n">
        <v>45976</v>
      </c>
      <c r="D347" t="inlineStr">
        <is>
          <t>NORRBOTTENS LÄN</t>
        </is>
      </c>
      <c r="E347" t="inlineStr">
        <is>
          <t>ÄLVSBYN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8742-2025</t>
        </is>
      </c>
      <c r="B348" s="1" t="n">
        <v>45712.55259259259</v>
      </c>
      <c r="C348" s="1" t="n">
        <v>45976</v>
      </c>
      <c r="D348" t="inlineStr">
        <is>
          <t>NORRBOTTENS LÄN</t>
        </is>
      </c>
      <c r="E348" t="inlineStr">
        <is>
          <t>ÄLVSBYN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47537-2025</t>
        </is>
      </c>
      <c r="B349" s="1" t="n">
        <v>45931.34706018519</v>
      </c>
      <c r="C349" s="1" t="n">
        <v>45976</v>
      </c>
      <c r="D349" t="inlineStr">
        <is>
          <t>NORRBOTTENS LÄN</t>
        </is>
      </c>
      <c r="E349" t="inlineStr">
        <is>
          <t>ÄLVSBYN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55809-2025</t>
        </is>
      </c>
      <c r="B350" s="1" t="n">
        <v>45972.67854166667</v>
      </c>
      <c r="C350" s="1" t="n">
        <v>45976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41845-2024</t>
        </is>
      </c>
      <c r="B351" s="1" t="n">
        <v>45561</v>
      </c>
      <c r="C351" s="1" t="n">
        <v>45976</v>
      </c>
      <c r="D351" t="inlineStr">
        <is>
          <t>NORRBOTTENS LÄN</t>
        </is>
      </c>
      <c r="E351" t="inlineStr">
        <is>
          <t>ÄLVSBYN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47842-2025</t>
        </is>
      </c>
      <c r="B352" s="1" t="n">
        <v>45932.37545138889</v>
      </c>
      <c r="C352" s="1" t="n">
        <v>45976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48236-2025</t>
        </is>
      </c>
      <c r="B353" s="1" t="n">
        <v>45933</v>
      </c>
      <c r="C353" s="1" t="n">
        <v>45976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38999-2024</t>
        </is>
      </c>
      <c r="B354" s="1" t="n">
        <v>45548.4180787037</v>
      </c>
      <c r="C354" s="1" t="n">
        <v>45976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29022-2025</t>
        </is>
      </c>
      <c r="B355" s="1" t="n">
        <v>45821.4296412037</v>
      </c>
      <c r="C355" s="1" t="n">
        <v>45976</v>
      </c>
      <c r="D355" t="inlineStr">
        <is>
          <t>NORRBOTTENS LÄN</t>
        </is>
      </c>
      <c r="E355" t="inlineStr">
        <is>
          <t>ÄLVSBYN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56260-2025</t>
        </is>
      </c>
      <c r="B356" s="1" t="n">
        <v>45974.56701388889</v>
      </c>
      <c r="C356" s="1" t="n">
        <v>45976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29743-2025</t>
        </is>
      </c>
      <c r="B357" s="1" t="n">
        <v>45825</v>
      </c>
      <c r="C357" s="1" t="n">
        <v>45976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56245-2025</t>
        </is>
      </c>
      <c r="B358" s="1" t="n">
        <v>45974.55252314815</v>
      </c>
      <c r="C358" s="1" t="n">
        <v>45976</v>
      </c>
      <c r="D358" t="inlineStr">
        <is>
          <t>NORRBOTTENS LÄN</t>
        </is>
      </c>
      <c r="E358" t="inlineStr">
        <is>
          <t>ÄLVSBYN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56246-2025</t>
        </is>
      </c>
      <c r="B359" s="1" t="n">
        <v>45974.5525462963</v>
      </c>
      <c r="C359" s="1" t="n">
        <v>45976</v>
      </c>
      <c r="D359" t="inlineStr">
        <is>
          <t>NORRBOTTENS LÄN</t>
        </is>
      </c>
      <c r="E359" t="inlineStr">
        <is>
          <t>ÄLVSBYN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48287-2025</t>
        </is>
      </c>
      <c r="B360" s="1" t="n">
        <v>45933.59439814815</v>
      </c>
      <c r="C360" s="1" t="n">
        <v>45976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10249-2024</t>
        </is>
      </c>
      <c r="B361" s="1" t="n">
        <v>45365.3860300926</v>
      </c>
      <c r="C361" s="1" t="n">
        <v>45976</v>
      </c>
      <c r="D361" t="inlineStr">
        <is>
          <t>NORRBOTTENS LÄN</t>
        </is>
      </c>
      <c r="E361" t="inlineStr">
        <is>
          <t>ÄLVSBYN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48163-2025</t>
        </is>
      </c>
      <c r="B362" s="1" t="n">
        <v>45933.42769675926</v>
      </c>
      <c r="C362" s="1" t="n">
        <v>45976</v>
      </c>
      <c r="D362" t="inlineStr">
        <is>
          <t>NORRBOTTENS LÄN</t>
        </is>
      </c>
      <c r="E362" t="inlineStr">
        <is>
          <t>ÄLVSBYN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56627-2025</t>
        </is>
      </c>
      <c r="B363" s="1" t="n">
        <v>45975.60807870371</v>
      </c>
      <c r="C363" s="1" t="n">
        <v>45976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31452-2024</t>
        </is>
      </c>
      <c r="B364" s="1" t="n">
        <v>45505</v>
      </c>
      <c r="C364" s="1" t="n">
        <v>45976</v>
      </c>
      <c r="D364" t="inlineStr">
        <is>
          <t>NORRBOTTENS LÄN</t>
        </is>
      </c>
      <c r="E364" t="inlineStr">
        <is>
          <t>ÄLVSBYN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56532-2025</t>
        </is>
      </c>
      <c r="B365" s="1" t="n">
        <v>45975.46935185185</v>
      </c>
      <c r="C365" s="1" t="n">
        <v>45976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56257-2025</t>
        </is>
      </c>
      <c r="B366" s="1" t="n">
        <v>45974.56496527778</v>
      </c>
      <c r="C366" s="1" t="n">
        <v>45976</v>
      </c>
      <c r="D366" t="inlineStr">
        <is>
          <t>NORRBOTTENS LÄN</t>
        </is>
      </c>
      <c r="E366" t="inlineStr">
        <is>
          <t>ÄLVSBYN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1486-2024</t>
        </is>
      </c>
      <c r="B367" s="1" t="n">
        <v>45305</v>
      </c>
      <c r="C367" s="1" t="n">
        <v>45976</v>
      </c>
      <c r="D367" t="inlineStr">
        <is>
          <t>NORRBOTTENS LÄN</t>
        </is>
      </c>
      <c r="E367" t="inlineStr">
        <is>
          <t>ÄLVSBYN</t>
        </is>
      </c>
      <c r="G367" t="n">
        <v>92.09999999999999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30147-2025</t>
        </is>
      </c>
      <c r="B368" s="1" t="n">
        <v>45827</v>
      </c>
      <c r="C368" s="1" t="n">
        <v>45976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2751-2022</t>
        </is>
      </c>
      <c r="B369" s="1" t="n">
        <v>44580.92210648148</v>
      </c>
      <c r="C369" s="1" t="n">
        <v>45976</v>
      </c>
      <c r="D369" t="inlineStr">
        <is>
          <t>NORRBOTTENS LÄN</t>
        </is>
      </c>
      <c r="E369" t="inlineStr">
        <is>
          <t>ÄLVSBYN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52327-2022</t>
        </is>
      </c>
      <c r="B370" s="1" t="n">
        <v>44873</v>
      </c>
      <c r="C370" s="1" t="n">
        <v>45976</v>
      </c>
      <c r="D370" t="inlineStr">
        <is>
          <t>NORRBOTTENS LÄN</t>
        </is>
      </c>
      <c r="E370" t="inlineStr">
        <is>
          <t>ÄLVSBYN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30526-2025</t>
        </is>
      </c>
      <c r="B371" s="1" t="n">
        <v>45831.35650462963</v>
      </c>
      <c r="C371" s="1" t="n">
        <v>45976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31013-2025</t>
        </is>
      </c>
      <c r="B372" s="1" t="n">
        <v>45832.50912037037</v>
      </c>
      <c r="C372" s="1" t="n">
        <v>45976</v>
      </c>
      <c r="D372" t="inlineStr">
        <is>
          <t>NORRBOTTENS LÄN</t>
        </is>
      </c>
      <c r="E372" t="inlineStr">
        <is>
          <t>ÄLVSBYN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46308-2022</t>
        </is>
      </c>
      <c r="B373" s="1" t="n">
        <v>44847</v>
      </c>
      <c r="C373" s="1" t="n">
        <v>45976</v>
      </c>
      <c r="D373" t="inlineStr">
        <is>
          <t>NORRBOTTENS LÄN</t>
        </is>
      </c>
      <c r="E373" t="inlineStr">
        <is>
          <t>ÄLVSBYN</t>
        </is>
      </c>
      <c r="G373" t="n">
        <v>18.7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30912-2025</t>
        </is>
      </c>
      <c r="B374" s="1" t="n">
        <v>45832.37572916667</v>
      </c>
      <c r="C374" s="1" t="n">
        <v>45976</v>
      </c>
      <c r="D374" t="inlineStr">
        <is>
          <t>NORRBOTTENS LÄN</t>
        </is>
      </c>
      <c r="E374" t="inlineStr">
        <is>
          <t>ÄLVSBYN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31563-2025</t>
        </is>
      </c>
      <c r="B375" s="1" t="n">
        <v>45833.65652777778</v>
      </c>
      <c r="C375" s="1" t="n">
        <v>45976</v>
      </c>
      <c r="D375" t="inlineStr">
        <is>
          <t>NORRBOTTENS LÄN</t>
        </is>
      </c>
      <c r="E375" t="inlineStr">
        <is>
          <t>ÄLVSBYN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31565-2025</t>
        </is>
      </c>
      <c r="B376" s="1" t="n">
        <v>45833.65660879629</v>
      </c>
      <c r="C376" s="1" t="n">
        <v>45976</v>
      </c>
      <c r="D376" t="inlineStr">
        <is>
          <t>NORRBOTTENS LÄN</t>
        </is>
      </c>
      <c r="E376" t="inlineStr">
        <is>
          <t>ÄLVSBYN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30967-2025</t>
        </is>
      </c>
      <c r="B377" s="1" t="n">
        <v>45832.45363425926</v>
      </c>
      <c r="C377" s="1" t="n">
        <v>45976</v>
      </c>
      <c r="D377" t="inlineStr">
        <is>
          <t>NORRBOTTENS LÄN</t>
        </is>
      </c>
      <c r="E377" t="inlineStr">
        <is>
          <t>ÄLVSBYN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30893-2025</t>
        </is>
      </c>
      <c r="B378" s="1" t="n">
        <v>45832.34675925926</v>
      </c>
      <c r="C378" s="1" t="n">
        <v>45976</v>
      </c>
      <c r="D378" t="inlineStr">
        <is>
          <t>NORRBOTTENS LÄN</t>
        </is>
      </c>
      <c r="E378" t="inlineStr">
        <is>
          <t>ÄLVSBYN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31546-2025</t>
        </is>
      </c>
      <c r="B379" s="1" t="n">
        <v>45833.63626157407</v>
      </c>
      <c r="C379" s="1" t="n">
        <v>45976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7266-2024</t>
        </is>
      </c>
      <c r="B380" s="1" t="n">
        <v>45344.82890046296</v>
      </c>
      <c r="C380" s="1" t="n">
        <v>45976</v>
      </c>
      <c r="D380" t="inlineStr">
        <is>
          <t>NORRBOTTENS LÄN</t>
        </is>
      </c>
      <c r="E380" t="inlineStr">
        <is>
          <t>ÄLVSBYN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26727-2024</t>
        </is>
      </c>
      <c r="B381" s="1" t="n">
        <v>45470</v>
      </c>
      <c r="C381" s="1" t="n">
        <v>45976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42477-2024</t>
        </is>
      </c>
      <c r="B382" s="1" t="n">
        <v>45565</v>
      </c>
      <c r="C382" s="1" t="n">
        <v>45976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42558-2024</t>
        </is>
      </c>
      <c r="B383" s="1" t="n">
        <v>45565</v>
      </c>
      <c r="C383" s="1" t="n">
        <v>45976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25420-2024</t>
        </is>
      </c>
      <c r="B384" s="1" t="n">
        <v>45463</v>
      </c>
      <c r="C384" s="1" t="n">
        <v>45976</v>
      </c>
      <c r="D384" t="inlineStr">
        <is>
          <t>NORRBOTTENS LÄN</t>
        </is>
      </c>
      <c r="E384" t="inlineStr">
        <is>
          <t>ÄLVSBYN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34320-2025</t>
        </is>
      </c>
      <c r="B385" s="1" t="n">
        <v>45846.42490740741</v>
      </c>
      <c r="C385" s="1" t="n">
        <v>45976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15180-2025</t>
        </is>
      </c>
      <c r="B386" s="1" t="n">
        <v>45744.52540509259</v>
      </c>
      <c r="C386" s="1" t="n">
        <v>45976</v>
      </c>
      <c r="D386" t="inlineStr">
        <is>
          <t>NORRBOTTENS LÄN</t>
        </is>
      </c>
      <c r="E386" t="inlineStr">
        <is>
          <t>ÄLVSBYN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58447-2023</t>
        </is>
      </c>
      <c r="B387" s="1" t="n">
        <v>45250</v>
      </c>
      <c r="C387" s="1" t="n">
        <v>45976</v>
      </c>
      <c r="D387" t="inlineStr">
        <is>
          <t>NORRBOTTENS LÄN</t>
        </is>
      </c>
      <c r="E387" t="inlineStr">
        <is>
          <t>ÄLVSBYN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42505-2024</t>
        </is>
      </c>
      <c r="B388" s="1" t="n">
        <v>45565</v>
      </c>
      <c r="C388" s="1" t="n">
        <v>45976</v>
      </c>
      <c r="D388" t="inlineStr">
        <is>
          <t>NORRBOTTENS LÄN</t>
        </is>
      </c>
      <c r="E388" t="inlineStr">
        <is>
          <t>ÄLVSBYN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51912-2021</t>
        </is>
      </c>
      <c r="B389" s="1" t="n">
        <v>44462</v>
      </c>
      <c r="C389" s="1" t="n">
        <v>45976</v>
      </c>
      <c r="D389" t="inlineStr">
        <is>
          <t>NORRBOTTENS LÄN</t>
        </is>
      </c>
      <c r="E389" t="inlineStr">
        <is>
          <t>ÄLVSBYN</t>
        </is>
      </c>
      <c r="G389" t="n">
        <v>26.5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35803-2025</t>
        </is>
      </c>
      <c r="B390" s="1" t="n">
        <v>45861</v>
      </c>
      <c r="C390" s="1" t="n">
        <v>45976</v>
      </c>
      <c r="D390" t="inlineStr">
        <is>
          <t>NORRBOTTENS LÄN</t>
        </is>
      </c>
      <c r="E390" t="inlineStr">
        <is>
          <t>ÄLVSBYN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30753-2025</t>
        </is>
      </c>
      <c r="B391" s="1" t="n">
        <v>45831</v>
      </c>
      <c r="C391" s="1" t="n">
        <v>45976</v>
      </c>
      <c r="D391" t="inlineStr">
        <is>
          <t>NORRBOTTENS LÄN</t>
        </is>
      </c>
      <c r="E391" t="inlineStr">
        <is>
          <t>ÄLVSBYN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35836-2025</t>
        </is>
      </c>
      <c r="B392" s="1" t="n">
        <v>45861</v>
      </c>
      <c r="C392" s="1" t="n">
        <v>45976</v>
      </c>
      <c r="D392" t="inlineStr">
        <is>
          <t>NORRBOTTENS LÄN</t>
        </is>
      </c>
      <c r="E392" t="inlineStr">
        <is>
          <t>ÄLVSBYN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35802-2025</t>
        </is>
      </c>
      <c r="B393" s="1" t="n">
        <v>45861.38800925926</v>
      </c>
      <c r="C393" s="1" t="n">
        <v>45976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27277-2022</t>
        </is>
      </c>
      <c r="B394" s="1" t="n">
        <v>44741.92667824074</v>
      </c>
      <c r="C394" s="1" t="n">
        <v>45976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29638-2023</t>
        </is>
      </c>
      <c r="B395" s="1" t="n">
        <v>45098</v>
      </c>
      <c r="C395" s="1" t="n">
        <v>45976</v>
      </c>
      <c r="D395" t="inlineStr">
        <is>
          <t>NORRBOTTENS LÄN</t>
        </is>
      </c>
      <c r="E395" t="inlineStr">
        <is>
          <t>ÄLVSBYN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36464-2025</t>
        </is>
      </c>
      <c r="B396" s="1" t="n">
        <v>45869.46420138889</v>
      </c>
      <c r="C396" s="1" t="n">
        <v>45976</v>
      </c>
      <c r="D396" t="inlineStr">
        <is>
          <t>NORRBOTTENS LÄN</t>
        </is>
      </c>
      <c r="E396" t="inlineStr">
        <is>
          <t>ÄLVSBYN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36490-2025</t>
        </is>
      </c>
      <c r="B397" s="1" t="n">
        <v>45869</v>
      </c>
      <c r="C397" s="1" t="n">
        <v>45976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36536-2025</t>
        </is>
      </c>
      <c r="B398" s="1" t="n">
        <v>45869</v>
      </c>
      <c r="C398" s="1" t="n">
        <v>45976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16.4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32952-2024</t>
        </is>
      </c>
      <c r="B399" s="1" t="n">
        <v>45517</v>
      </c>
      <c r="C399" s="1" t="n">
        <v>45976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404-2024</t>
        </is>
      </c>
      <c r="B400" s="1" t="n">
        <v>45296</v>
      </c>
      <c r="C400" s="1" t="n">
        <v>45976</v>
      </c>
      <c r="D400" t="inlineStr">
        <is>
          <t>NORRBOTTENS LÄN</t>
        </is>
      </c>
      <c r="E400" t="inlineStr">
        <is>
          <t>ÄLVSBYN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4128-2023</t>
        </is>
      </c>
      <c r="B401" s="1" t="n">
        <v>44952</v>
      </c>
      <c r="C401" s="1" t="n">
        <v>45976</v>
      </c>
      <c r="D401" t="inlineStr">
        <is>
          <t>NORRBOTTENS LÄN</t>
        </is>
      </c>
      <c r="E401" t="inlineStr">
        <is>
          <t>ÄLVSBYN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39668-2024</t>
        </is>
      </c>
      <c r="B402" s="1" t="n">
        <v>45552</v>
      </c>
      <c r="C402" s="1" t="n">
        <v>45976</v>
      </c>
      <c r="D402" t="inlineStr">
        <is>
          <t>NORRBOTTENS LÄN</t>
        </is>
      </c>
      <c r="E402" t="inlineStr">
        <is>
          <t>ÄLVSBYN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9618-2022</t>
        </is>
      </c>
      <c r="B403" s="1" t="n">
        <v>44617</v>
      </c>
      <c r="C403" s="1" t="n">
        <v>45976</v>
      </c>
      <c r="D403" t="inlineStr">
        <is>
          <t>NORRBOTTENS LÄN</t>
        </is>
      </c>
      <c r="E403" t="inlineStr">
        <is>
          <t>ÄLVSBYN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47695-2021</t>
        </is>
      </c>
      <c r="B404" s="1" t="n">
        <v>44448</v>
      </c>
      <c r="C404" s="1" t="n">
        <v>45976</v>
      </c>
      <c r="D404" t="inlineStr">
        <is>
          <t>NORRBOTTENS LÄN</t>
        </is>
      </c>
      <c r="E404" t="inlineStr">
        <is>
          <t>ÄLVSBYN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59553-2021</t>
        </is>
      </c>
      <c r="B405" s="1" t="n">
        <v>44491</v>
      </c>
      <c r="C405" s="1" t="n">
        <v>45976</v>
      </c>
      <c r="D405" t="inlineStr">
        <is>
          <t>NORRBOTTENS LÄN</t>
        </is>
      </c>
      <c r="E405" t="inlineStr">
        <is>
          <t>ÄLVSBYN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32202-2024</t>
        </is>
      </c>
      <c r="B406" s="1" t="n">
        <v>45511.67006944444</v>
      </c>
      <c r="C406" s="1" t="n">
        <v>45976</v>
      </c>
      <c r="D406" t="inlineStr">
        <is>
          <t>NORRBOTTENS LÄN</t>
        </is>
      </c>
      <c r="E406" t="inlineStr">
        <is>
          <t>ÄLVSBYN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63954-2023</t>
        </is>
      </c>
      <c r="B407" s="1" t="n">
        <v>45278</v>
      </c>
      <c r="C407" s="1" t="n">
        <v>45976</v>
      </c>
      <c r="D407" t="inlineStr">
        <is>
          <t>NORRBOTTENS LÄN</t>
        </is>
      </c>
      <c r="E407" t="inlineStr">
        <is>
          <t>ÄLVSBYN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58309-2024</t>
        </is>
      </c>
      <c r="B408" s="1" t="n">
        <v>45632</v>
      </c>
      <c r="C408" s="1" t="n">
        <v>45976</v>
      </c>
      <c r="D408" t="inlineStr">
        <is>
          <t>NORRBOTTENS LÄN</t>
        </is>
      </c>
      <c r="E408" t="inlineStr">
        <is>
          <t>ÄLVSBYN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2025-11-15T10:13:25Z</dcterms:created>
  <dcterms:modified xmlns:dcterms="http://purl.org/dc/terms/" xmlns:xsi="http://www.w3.org/2001/XMLSchema-instance" xsi:type="dcterms:W3CDTF">2025-11-15T10:13:25Z</dcterms:modified>
</cp:coreProperties>
</file>