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45824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45824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45824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45824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45824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45824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45824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45824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45824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45824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45824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45824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45824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45824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45824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45824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45824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45824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45824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45824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29877-2023</t>
        </is>
      </c>
      <c r="B40" s="1" t="n">
        <v>45107</v>
      </c>
      <c r="C40" s="1" t="n">
        <v>45824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29877-2023 artfynd.xlsx", "A 29877-2023")</f>
        <v/>
      </c>
      <c r="T40">
        <f>HYPERLINK("https://klasma.github.io/Logging_2560/kartor/A 29877-2023 karta.png", "A 29877-2023")</f>
        <v/>
      </c>
      <c r="V40">
        <f>HYPERLINK("https://klasma.github.io/Logging_2560/klagomål/A 29877-2023 FSC-klagomål.docx", "A 29877-2023")</f>
        <v/>
      </c>
      <c r="W40">
        <f>HYPERLINK("https://klasma.github.io/Logging_2560/klagomålsmail/A 29877-2023 FSC-klagomål mail.docx", "A 29877-2023")</f>
        <v/>
      </c>
      <c r="X40">
        <f>HYPERLINK("https://klasma.github.io/Logging_2560/tillsyn/A 29877-2023 tillsynsbegäran.docx", "A 29877-2023")</f>
        <v/>
      </c>
      <c r="Y40">
        <f>HYPERLINK("https://klasma.github.io/Logging_2560/tillsynsmail/A 29877-2023 tillsynsbegäran mail.docx", "A 29877-2023")</f>
        <v/>
      </c>
    </row>
    <row r="41" ht="15" customHeight="1">
      <c r="A41" t="inlineStr">
        <is>
          <t>A 47131-2023</t>
        </is>
      </c>
      <c r="B41" s="1" t="n">
        <v>45201</v>
      </c>
      <c r="C41" s="1" t="n">
        <v>45824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Lunglav
Tallriska</t>
        </is>
      </c>
      <c r="S41">
        <f>HYPERLINK("https://klasma.github.io/Logging_2560/artfynd/A 47131-2023 artfynd.xlsx", "A 47131-2023")</f>
        <v/>
      </c>
      <c r="T41">
        <f>HYPERLINK("https://klasma.github.io/Logging_2560/kartor/A 47131-2023 karta.png", "A 47131-2023")</f>
        <v/>
      </c>
      <c r="V41">
        <f>HYPERLINK("https://klasma.github.io/Logging_2560/klagomål/A 47131-2023 FSC-klagomål.docx", "A 47131-2023")</f>
        <v/>
      </c>
      <c r="W41">
        <f>HYPERLINK("https://klasma.github.io/Logging_2560/klagomålsmail/A 47131-2023 FSC-klagomål mail.docx", "A 47131-2023")</f>
        <v/>
      </c>
      <c r="X41">
        <f>HYPERLINK("https://klasma.github.io/Logging_2560/tillsyn/A 47131-2023 tillsynsbegäran.docx", "A 47131-2023")</f>
        <v/>
      </c>
      <c r="Y41">
        <f>HYPERLINK("https://klasma.github.io/Logging_2560/tillsynsmail/A 47131-2023 tillsynsbegäran mail.docx", "A 47131-2023")</f>
        <v/>
      </c>
    </row>
    <row r="42" ht="15" customHeight="1">
      <c r="A42" t="inlineStr">
        <is>
          <t>A 62395-2023</t>
        </is>
      </c>
      <c r="B42" s="1" t="n">
        <v>45266</v>
      </c>
      <c r="C42" s="1" t="n">
        <v>45824</v>
      </c>
      <c r="D42" t="inlineStr">
        <is>
          <t>NORRBOTTENS LÄN</t>
        </is>
      </c>
      <c r="E42" t="inlineStr">
        <is>
          <t>ÄLVSBYN</t>
        </is>
      </c>
      <c r="G42" t="n">
        <v>3.1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HYPERLINK("https://klasma.github.io/Logging_2560/artfynd/A 62395-2023 artfynd.xlsx", "A 62395-2023")</f>
        <v/>
      </c>
      <c r="T42">
        <f>HYPERLINK("https://klasma.github.io/Logging_2560/kartor/A 62395-2023 karta.png", "A 62395-2023")</f>
        <v/>
      </c>
      <c r="V42">
        <f>HYPERLINK("https://klasma.github.io/Logging_2560/klagomål/A 62395-2023 FSC-klagomål.docx", "A 62395-2023")</f>
        <v/>
      </c>
      <c r="W42">
        <f>HYPERLINK("https://klasma.github.io/Logging_2560/klagomålsmail/A 62395-2023 FSC-klagomål mail.docx", "A 62395-2023")</f>
        <v/>
      </c>
      <c r="X42">
        <f>HYPERLINK("https://klasma.github.io/Logging_2560/tillsyn/A 62395-2023 tillsynsbegäran.docx", "A 62395-2023")</f>
        <v/>
      </c>
      <c r="Y42">
        <f>HYPERLINK("https://klasma.github.io/Logging_2560/tillsynsmail/A 62395-2023 tillsynsbegäran mail.docx", "A 62395-2023")</f>
        <v/>
      </c>
    </row>
    <row r="43" ht="15" customHeight="1">
      <c r="A43" t="inlineStr">
        <is>
          <t>A 569-2024</t>
        </is>
      </c>
      <c r="B43" s="1" t="n">
        <v>45299</v>
      </c>
      <c r="C43" s="1" t="n">
        <v>45824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Skarp dropptaggsvamp</t>
        </is>
      </c>
      <c r="S43">
        <f>HYPERLINK("https://klasma.github.io/Logging_2560/artfynd/A 569-2024 artfynd.xlsx", "A 569-2024")</f>
        <v/>
      </c>
      <c r="T43">
        <f>HYPERLINK("https://klasma.github.io/Logging_2560/kartor/A 569-2024 karta.png", "A 569-2024")</f>
        <v/>
      </c>
      <c r="V43">
        <f>HYPERLINK("https://klasma.github.io/Logging_2560/klagomål/A 569-2024 FSC-klagomål.docx", "A 569-2024")</f>
        <v/>
      </c>
      <c r="W43">
        <f>HYPERLINK("https://klasma.github.io/Logging_2560/klagomålsmail/A 569-2024 FSC-klagomål mail.docx", "A 569-2024")</f>
        <v/>
      </c>
      <c r="X43">
        <f>HYPERLINK("https://klasma.github.io/Logging_2560/tillsyn/A 569-2024 tillsynsbegäran.docx", "A 569-2024")</f>
        <v/>
      </c>
      <c r="Y43">
        <f>HYPERLINK("https://klasma.github.io/Logging_2560/tillsynsmail/A 569-2024 tillsynsbegäran mail.docx", "A 569-2024")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45824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45824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45824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45824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45824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45314-2024</t>
        </is>
      </c>
      <c r="B49" s="1" t="n">
        <v>45576</v>
      </c>
      <c r="C49" s="1" t="n">
        <v>45824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8.6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Orange taggsvamp
Dropptaggsvamp</t>
        </is>
      </c>
      <c r="S49">
        <f>HYPERLINK("https://klasma.github.io/Logging_2560/artfynd/A 45314-2024 artfynd.xlsx", "A 45314-2024")</f>
        <v/>
      </c>
      <c r="T49">
        <f>HYPERLINK("https://klasma.github.io/Logging_2560/kartor/A 45314-2024 karta.png", "A 45314-2024")</f>
        <v/>
      </c>
      <c r="V49">
        <f>HYPERLINK("https://klasma.github.io/Logging_2560/klagomål/A 45314-2024 FSC-klagomål.docx", "A 45314-2024")</f>
        <v/>
      </c>
      <c r="W49">
        <f>HYPERLINK("https://klasma.github.io/Logging_2560/klagomålsmail/A 45314-2024 FSC-klagomål mail.docx", "A 45314-2024")</f>
        <v/>
      </c>
      <c r="X49">
        <f>HYPERLINK("https://klasma.github.io/Logging_2560/tillsyn/A 45314-2024 tillsynsbegäran.docx", "A 45314-2024")</f>
        <v/>
      </c>
      <c r="Y49">
        <f>HYPERLINK("https://klasma.github.io/Logging_2560/tillsynsmail/A 45314-2024 tillsynsbegäran mail.docx", "A 45314-2024")</f>
        <v/>
      </c>
    </row>
    <row r="50" ht="15" customHeight="1">
      <c r="A50" t="inlineStr">
        <is>
          <t>A 45317-2024</t>
        </is>
      </c>
      <c r="B50" s="1" t="n">
        <v>45576</v>
      </c>
      <c r="C50" s="1" t="n">
        <v>45824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Skarp dropptaggsvamp</t>
        </is>
      </c>
      <c r="S50">
        <f>HYPERLINK("https://klasma.github.io/Logging_2560/artfynd/A 45317-2024 artfynd.xlsx", "A 45317-2024")</f>
        <v/>
      </c>
      <c r="T50">
        <f>HYPERLINK("https://klasma.github.io/Logging_2560/kartor/A 45317-2024 karta.png", "A 45317-2024")</f>
        <v/>
      </c>
      <c r="V50">
        <f>HYPERLINK("https://klasma.github.io/Logging_2560/klagomål/A 45317-2024 FSC-klagomål.docx", "A 45317-2024")</f>
        <v/>
      </c>
      <c r="W50">
        <f>HYPERLINK("https://klasma.github.io/Logging_2560/klagomålsmail/A 45317-2024 FSC-klagomål mail.docx", "A 45317-2024")</f>
        <v/>
      </c>
      <c r="X50">
        <f>HYPERLINK("https://klasma.github.io/Logging_2560/tillsyn/A 45317-2024 tillsynsbegäran.docx", "A 45317-2024")</f>
        <v/>
      </c>
      <c r="Y50">
        <f>HYPERLINK("https://klasma.github.io/Logging_2560/tillsynsmail/A 45317-2024 tillsynsbegäran mail.docx", "A 45317-2024")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45824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45824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HYPERLINK("https://klasma.github.io/Logging_252560/artfynd/A 21856-2025 artfynd.xlsx", "A 21856-2025")</f>
        <v/>
      </c>
      <c r="T52">
        <f>HYPERLINK("https://klasma.github.io/Logging_252560/kartor/A 21856-2025 karta.png", "A 21856-2025")</f>
        <v/>
      </c>
      <c r="V52">
        <f>HYPERLINK("https://klasma.github.io/Logging_252560/klagomål/A 21856-2025 FSC-klagomål.docx", "A 21856-2025")</f>
        <v/>
      </c>
      <c r="W52">
        <f>HYPERLINK("https://klasma.github.io/Logging_252560/klagomålsmail/A 21856-2025 FSC-klagomål mail.docx", "A 21856-2025")</f>
        <v/>
      </c>
      <c r="X52">
        <f>HYPERLINK("https://klasma.github.io/Logging_252560/tillsyn/A 21856-2025 tillsynsbegäran.docx", "A 21856-2025")</f>
        <v/>
      </c>
      <c r="Y52">
        <f>HYPERLINK("https://klasma.github.io/Logging_252560/tillsynsmail/A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45824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HYPERLINK("https://klasma.github.io/Logging_252560/artfynd/A 22567-2025 artfynd.xlsx", "A 22567-2025")</f>
        <v/>
      </c>
      <c r="T53">
        <f>HYPERLINK("https://klasma.github.io/Logging_252560/kartor/A 22567-2025 karta.png", "A 22567-2025")</f>
        <v/>
      </c>
      <c r="V53">
        <f>HYPERLINK("https://klasma.github.io/Logging_252560/klagomål/A 22567-2025 FSC-klagomål.docx", "A 22567-2025")</f>
        <v/>
      </c>
      <c r="W53">
        <f>HYPERLINK("https://klasma.github.io/Logging_252560/klagomålsmail/A 22567-2025 FSC-klagomål mail.docx", "A 22567-2025")</f>
        <v/>
      </c>
      <c r="X53">
        <f>HYPERLINK("https://klasma.github.io/Logging_252560/tillsyn/A 22567-2025 tillsynsbegäran.docx", "A 22567-2025")</f>
        <v/>
      </c>
      <c r="Y53">
        <f>HYPERLINK("https://klasma.github.io/Logging_252560/tillsynsmail/A 22567-2025 tillsynsbegäran mail.docx", "A 22567-2025")</f>
        <v/>
      </c>
    </row>
    <row r="54" ht="15" customHeight="1">
      <c r="A54" t="inlineStr">
        <is>
          <t>A 51078-2019</t>
        </is>
      </c>
      <c r="B54" s="1" t="n">
        <v>43739</v>
      </c>
      <c r="C54" s="1" t="n">
        <v>45824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HYPERLINK("https://klasma.github.io/Logging_2560/artfynd/A 51078-2019 artfynd.xlsx", "A 51078-2019")</f>
        <v/>
      </c>
      <c r="T54">
        <f>HYPERLINK("https://klasma.github.io/Logging_2560/kartor/A 51078-2019 karta.png", "A 51078-2019")</f>
        <v/>
      </c>
      <c r="V54">
        <f>HYPERLINK("https://klasma.github.io/Logging_2560/klagomål/A 51078-2019 FSC-klagomål.docx", "A 51078-2019")</f>
        <v/>
      </c>
      <c r="W54">
        <f>HYPERLINK("https://klasma.github.io/Logging_2560/klagomålsmail/A 51078-2019 FSC-klagomål mail.docx", "A 51078-2019")</f>
        <v/>
      </c>
      <c r="X54">
        <f>HYPERLINK("https://klasma.github.io/Logging_2560/tillsyn/A 51078-2019 tillsynsbegäran.docx", "A 51078-2019")</f>
        <v/>
      </c>
      <c r="Y54">
        <f>HYPERLINK("https://klasma.github.io/Logging_2560/tillsynsmail/A 51078-2019 tillsynsbegäran mail.docx", "A 51078-2019")</f>
        <v/>
      </c>
      <c r="Z54">
        <f>HYPERLINK("https://klasma.github.io/Logging_2560/fåglar/A 51078-2019 prioriterade fågelarter.docx", "A 51078-2019")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45824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45824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34022-2022</t>
        </is>
      </c>
      <c r="B57" s="1" t="n">
        <v>44791</v>
      </c>
      <c r="C57" s="1" t="n">
        <v>45824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34022-2022 artfynd.xlsx", "A 34022-2022")</f>
        <v/>
      </c>
      <c r="T57">
        <f>HYPERLINK("https://klasma.github.io/Logging_2560/kartor/A 34022-2022 karta.png", "A 34022-2022")</f>
        <v/>
      </c>
      <c r="V57">
        <f>HYPERLINK("https://klasma.github.io/Logging_2560/klagomål/A 34022-2022 FSC-klagomål.docx", "A 34022-2022")</f>
        <v/>
      </c>
      <c r="W57">
        <f>HYPERLINK("https://klasma.github.io/Logging_2560/klagomålsmail/A 34022-2022 FSC-klagomål mail.docx", "A 34022-2022")</f>
        <v/>
      </c>
      <c r="X57">
        <f>HYPERLINK("https://klasma.github.io/Logging_2560/tillsyn/A 34022-2022 tillsynsbegäran.docx", "A 34022-2022")</f>
        <v/>
      </c>
      <c r="Y57">
        <f>HYPERLINK("https://klasma.github.io/Logging_2560/tillsynsmail/A 34022-2022 tillsynsbegäran mail.docx", "A 34022-2022")</f>
        <v/>
      </c>
    </row>
    <row r="58" ht="15" customHeight="1">
      <c r="A58" t="inlineStr">
        <is>
          <t>A 38620-2022</t>
        </is>
      </c>
      <c r="B58" s="1" t="n">
        <v>44813</v>
      </c>
      <c r="C58" s="1" t="n">
        <v>45824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42680-2022</t>
        </is>
      </c>
      <c r="B59" s="1" t="n">
        <v>44832</v>
      </c>
      <c r="C59" s="1" t="n">
        <v>45824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44283-2022</t>
        </is>
      </c>
      <c r="B60" s="1" t="n">
        <v>44839</v>
      </c>
      <c r="C60" s="1" t="n">
        <v>45824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44283-2022 artfynd.xlsx", "A 44283-2022")</f>
        <v/>
      </c>
      <c r="T60">
        <f>HYPERLINK("https://klasma.github.io/Logging_2560/kartor/A 44283-2022 karta.png", "A 44283-2022")</f>
        <v/>
      </c>
      <c r="V60">
        <f>HYPERLINK("https://klasma.github.io/Logging_2560/klagomål/A 44283-2022 FSC-klagomål.docx", "A 44283-2022")</f>
        <v/>
      </c>
      <c r="W60">
        <f>HYPERLINK("https://klasma.github.io/Logging_2560/klagomålsmail/A 44283-2022 FSC-klagomål mail.docx", "A 44283-2022")</f>
        <v/>
      </c>
      <c r="X60">
        <f>HYPERLINK("https://klasma.github.io/Logging_2560/tillsyn/A 44283-2022 tillsynsbegäran.docx", "A 44283-2022")</f>
        <v/>
      </c>
      <c r="Y60">
        <f>HYPERLINK("https://klasma.github.io/Logging_2560/tillsynsmail/A 44283-2022 tillsynsbegäran mail.docx", "A 44283-2022")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45824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45824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45824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45824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45824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45824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45824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45824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45824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45824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45824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45824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45824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45824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45824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45824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45824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45824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45824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45824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45824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45824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45824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45824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45824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45824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45824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45824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45824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45824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45824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45824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45824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45824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45824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45824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45824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45824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45824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45824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45824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45824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45824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45824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45824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45824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45824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45824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45824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45824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45824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45824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45824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45824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45824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45824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45824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45824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45824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45824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45824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45824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45824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45824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45824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45824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45824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45824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45824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45824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45824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45824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45824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45824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45824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45824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45824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45824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45824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45824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45824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45824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45824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45824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45824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45824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45824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45824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45824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45824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45824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45824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45824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45824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45824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45824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45824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45824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45824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45824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45824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45824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45824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45824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45824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45824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45824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45824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45824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45824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45824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45824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45824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45824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45824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45824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45824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45824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45824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45824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45824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45824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45824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45824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45824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45824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45824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45824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45824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45824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45824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45824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45824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45824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45824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45824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45824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45824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45824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45824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45824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45824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45824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45824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45824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45824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45824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45824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45824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45824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45824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45824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45824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45824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45824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45824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45824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45824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45824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45824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45824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45824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45824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45824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45824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45824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45824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45824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45824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45824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45824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45824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45824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45824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45824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45824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45824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45824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45824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45824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45824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45824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45824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45824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45824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45824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45824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45824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45824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45824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45824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45824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45824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45824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45824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45824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45824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45824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45824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45824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45824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45824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45824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45824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45824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45824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45824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45824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45824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45824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45824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45824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45824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45824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45824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45824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45824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45824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45824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45824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45824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45824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45824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45824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45824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45824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45824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45824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45824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45824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45824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45824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45824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45824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45824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45824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45824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45824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45824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45824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45824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45824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45824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45824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45824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45824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45824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45824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45824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45824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45824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45824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45824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45824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45824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45824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45824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45824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45824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45824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45824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45824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45824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45824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45824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45824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45824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45824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45824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45824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45824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45824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45824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45824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45824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45824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45824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45824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45824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45824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45824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45824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45824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45824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45824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45824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45824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45824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45824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45824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45824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45824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45824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45824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45824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45824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45824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45824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45824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45824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45824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45824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45824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45824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45824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45824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45824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45824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45824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45824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45824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45824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45824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45824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45824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45824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45824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45824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45824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45824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45824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45824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45824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45824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45824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45824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45824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45824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45824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45824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45824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45824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45824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45824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45824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45824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45824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45824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45824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45824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45824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45824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45824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45824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45824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45824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45824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45824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45824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45824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45824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45824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45824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45824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45824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45824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45824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45824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45824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45824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45824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45824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45824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45824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45824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45824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45824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45824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45824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45824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45824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45824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45824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45824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45824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45824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45824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45824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45824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45824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45824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45824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45824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45824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45824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45824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45824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45824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45824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45824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45824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45824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45824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45824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45824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45824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45824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45824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45824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45824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62550-2023</t>
        </is>
      </c>
      <c r="B461" s="1" t="n">
        <v>45268</v>
      </c>
      <c r="C461" s="1" t="n">
        <v>45824</v>
      </c>
      <c r="D461" t="inlineStr">
        <is>
          <t>NORRBOTTENS LÄN</t>
        </is>
      </c>
      <c r="E461" t="inlineStr">
        <is>
          <t>ÄLVSBYN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62757-2023</t>
        </is>
      </c>
      <c r="B462" s="1" t="n">
        <v>45268</v>
      </c>
      <c r="C462" s="1" t="n">
        <v>45824</v>
      </c>
      <c r="D462" t="inlineStr">
        <is>
          <t>NORRBOTTENS LÄN</t>
        </is>
      </c>
      <c r="E462" t="inlineStr">
        <is>
          <t>ÄLVSBYN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62746-2023</t>
        </is>
      </c>
      <c r="B463" s="1" t="n">
        <v>45268</v>
      </c>
      <c r="C463" s="1" t="n">
        <v>45824</v>
      </c>
      <c r="D463" t="inlineStr">
        <is>
          <t>NORRBOTTENS LÄN</t>
        </is>
      </c>
      <c r="E463" t="inlineStr">
        <is>
          <t>ÄLVSBYN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62696-2023</t>
        </is>
      </c>
      <c r="B464" s="1" t="n">
        <v>45271</v>
      </c>
      <c r="C464" s="1" t="n">
        <v>45824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62880-2023</t>
        </is>
      </c>
      <c r="B465" s="1" t="n">
        <v>45272</v>
      </c>
      <c r="C465" s="1" t="n">
        <v>45824</v>
      </c>
      <c r="D465" t="inlineStr">
        <is>
          <t>NORRBOTTENS LÄN</t>
        </is>
      </c>
      <c r="E465" t="inlineStr">
        <is>
          <t>ÄLVSBYN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63953-2023</t>
        </is>
      </c>
      <c r="B466" s="1" t="n">
        <v>45278</v>
      </c>
      <c r="C466" s="1" t="n">
        <v>45824</v>
      </c>
      <c r="D466" t="inlineStr">
        <is>
          <t>NORRBOTTENS LÄN</t>
        </is>
      </c>
      <c r="E466" t="inlineStr">
        <is>
          <t>ÄLVSBYN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63954-2023</t>
        </is>
      </c>
      <c r="B467" s="1" t="n">
        <v>45278</v>
      </c>
      <c r="C467" s="1" t="n">
        <v>45824</v>
      </c>
      <c r="D467" t="inlineStr">
        <is>
          <t>NORRBOTTENS LÄN</t>
        </is>
      </c>
      <c r="E467" t="inlineStr">
        <is>
          <t>ÄLVSBYN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63927-2023</t>
        </is>
      </c>
      <c r="B468" s="1" t="n">
        <v>45278</v>
      </c>
      <c r="C468" s="1" t="n">
        <v>45824</v>
      </c>
      <c r="D468" t="inlineStr">
        <is>
          <t>NORRBOTTENS LÄN</t>
        </is>
      </c>
      <c r="E468" t="inlineStr">
        <is>
          <t>ÄLVSBYN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64403-2023</t>
        </is>
      </c>
      <c r="B469" s="1" t="n">
        <v>45280</v>
      </c>
      <c r="C469" s="1" t="n">
        <v>45824</v>
      </c>
      <c r="D469" t="inlineStr">
        <is>
          <t>NORRBOTTENS LÄN</t>
        </is>
      </c>
      <c r="E469" t="inlineStr">
        <is>
          <t>ÄLVSBYN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64407-2023</t>
        </is>
      </c>
      <c r="B470" s="1" t="n">
        <v>45280</v>
      </c>
      <c r="C470" s="1" t="n">
        <v>45824</v>
      </c>
      <c r="D470" t="inlineStr">
        <is>
          <t>NORRBOTTENS LÄN</t>
        </is>
      </c>
      <c r="E470" t="inlineStr">
        <is>
          <t>ÄLVSBYN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64472-2023</t>
        </is>
      </c>
      <c r="B471" s="1" t="n">
        <v>45280</v>
      </c>
      <c r="C471" s="1" t="n">
        <v>45824</v>
      </c>
      <c r="D471" t="inlineStr">
        <is>
          <t>NORRBOTTENS LÄN</t>
        </is>
      </c>
      <c r="E471" t="inlineStr">
        <is>
          <t>ÄLVSBYN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64470-2023</t>
        </is>
      </c>
      <c r="B472" s="1" t="n">
        <v>45280</v>
      </c>
      <c r="C472" s="1" t="n">
        <v>45824</v>
      </c>
      <c r="D472" t="inlineStr">
        <is>
          <t>NORRBOTTENS LÄN</t>
        </is>
      </c>
      <c r="E472" t="inlineStr">
        <is>
          <t>ÄLVSBYN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64471-2023</t>
        </is>
      </c>
      <c r="B473" s="1" t="n">
        <v>45280</v>
      </c>
      <c r="C473" s="1" t="n">
        <v>45824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64473-2023</t>
        </is>
      </c>
      <c r="B474" s="1" t="n">
        <v>45280</v>
      </c>
      <c r="C474" s="1" t="n">
        <v>45824</v>
      </c>
      <c r="D474" t="inlineStr">
        <is>
          <t>NORRBOTTENS LÄN</t>
        </is>
      </c>
      <c r="E474" t="inlineStr">
        <is>
          <t>ÄLVSBYN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64872-2023</t>
        </is>
      </c>
      <c r="B475" s="1" t="n">
        <v>45282</v>
      </c>
      <c r="C475" s="1" t="n">
        <v>45824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64876-2023</t>
        </is>
      </c>
      <c r="B476" s="1" t="n">
        <v>45282</v>
      </c>
      <c r="C476" s="1" t="n">
        <v>45824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64882-2023</t>
        </is>
      </c>
      <c r="B477" s="1" t="n">
        <v>45282</v>
      </c>
      <c r="C477" s="1" t="n">
        <v>45824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404-2024</t>
        </is>
      </c>
      <c r="B478" s="1" t="n">
        <v>45296</v>
      </c>
      <c r="C478" s="1" t="n">
        <v>45824</v>
      </c>
      <c r="D478" t="inlineStr">
        <is>
          <t>NORRBOTTENS LÄN</t>
        </is>
      </c>
      <c r="E478" t="inlineStr">
        <is>
          <t>ÄLVSBYN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594-2024</t>
        </is>
      </c>
      <c r="B479" s="1" t="n">
        <v>45299</v>
      </c>
      <c r="C479" s="1" t="n">
        <v>45824</v>
      </c>
      <c r="D479" t="inlineStr">
        <is>
          <t>NORRBOTTENS LÄN</t>
        </is>
      </c>
      <c r="E479" t="inlineStr">
        <is>
          <t>ÄLVSBYN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658-2024</t>
        </is>
      </c>
      <c r="B480" s="1" t="n">
        <v>45299</v>
      </c>
      <c r="C480" s="1" t="n">
        <v>45824</v>
      </c>
      <c r="D480" t="inlineStr">
        <is>
          <t>NORRBOTTENS LÄN</t>
        </is>
      </c>
      <c r="E480" t="inlineStr">
        <is>
          <t>ÄLVSBYN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1200-2024</t>
        </is>
      </c>
      <c r="B481" s="1" t="n">
        <v>45302</v>
      </c>
      <c r="C481" s="1" t="n">
        <v>45824</v>
      </c>
      <c r="D481" t="inlineStr">
        <is>
          <t>NORRBOTTENS LÄN</t>
        </is>
      </c>
      <c r="E481" t="inlineStr">
        <is>
          <t>ÄLVSBYN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1238-2024</t>
        </is>
      </c>
      <c r="B482" s="1" t="n">
        <v>45302</v>
      </c>
      <c r="C482" s="1" t="n">
        <v>45824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1207-2024</t>
        </is>
      </c>
      <c r="B483" s="1" t="n">
        <v>45302</v>
      </c>
      <c r="C483" s="1" t="n">
        <v>45824</v>
      </c>
      <c r="D483" t="inlineStr">
        <is>
          <t>NORRBOTTENS LÄN</t>
        </is>
      </c>
      <c r="E483" t="inlineStr">
        <is>
          <t>ÄLVSBYN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1486-2024</t>
        </is>
      </c>
      <c r="B484" s="1" t="n">
        <v>45305</v>
      </c>
      <c r="C484" s="1" t="n">
        <v>45824</v>
      </c>
      <c r="D484" t="inlineStr">
        <is>
          <t>NORRBOTTENS LÄN</t>
        </is>
      </c>
      <c r="E484" t="inlineStr">
        <is>
          <t>ÄLVSBYN</t>
        </is>
      </c>
      <c r="G484" t="n">
        <v>92.09999999999999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2324-2024</t>
        </is>
      </c>
      <c r="B485" s="1" t="n">
        <v>45310</v>
      </c>
      <c r="C485" s="1" t="n">
        <v>45824</v>
      </c>
      <c r="D485" t="inlineStr">
        <is>
          <t>NORRBOTTENS LÄN</t>
        </is>
      </c>
      <c r="E485" t="inlineStr">
        <is>
          <t>ÄLVSBYN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2321-2024</t>
        </is>
      </c>
      <c r="B486" s="1" t="n">
        <v>45310</v>
      </c>
      <c r="C486" s="1" t="n">
        <v>45824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3509-2024</t>
        </is>
      </c>
      <c r="B487" s="1" t="n">
        <v>45320</v>
      </c>
      <c r="C487" s="1" t="n">
        <v>45824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3984-2024</t>
        </is>
      </c>
      <c r="B488" s="1" t="n">
        <v>45322</v>
      </c>
      <c r="C488" s="1" t="n">
        <v>45824</v>
      </c>
      <c r="D488" t="inlineStr">
        <is>
          <t>NORRBOTTENS LÄN</t>
        </is>
      </c>
      <c r="E488" t="inlineStr">
        <is>
          <t>ÄLVSBYN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4690-2024</t>
        </is>
      </c>
      <c r="B489" s="1" t="n">
        <v>45328</v>
      </c>
      <c r="C489" s="1" t="n">
        <v>45824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5378-2024</t>
        </is>
      </c>
      <c r="B490" s="1" t="n">
        <v>45331</v>
      </c>
      <c r="C490" s="1" t="n">
        <v>45824</v>
      </c>
      <c r="D490" t="inlineStr">
        <is>
          <t>NORRBOTTENS LÄN</t>
        </is>
      </c>
      <c r="E490" t="inlineStr">
        <is>
          <t>ÄLVSBYN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5389-2024</t>
        </is>
      </c>
      <c r="B491" s="1" t="n">
        <v>45331</v>
      </c>
      <c r="C491" s="1" t="n">
        <v>45824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5419-2024</t>
        </is>
      </c>
      <c r="B492" s="1" t="n">
        <v>45331</v>
      </c>
      <c r="C492" s="1" t="n">
        <v>45824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5646-2024</t>
        </is>
      </c>
      <c r="B493" s="1" t="n">
        <v>45334</v>
      </c>
      <c r="C493" s="1" t="n">
        <v>45824</v>
      </c>
      <c r="D493" t="inlineStr">
        <is>
          <t>NORRBOTTENS LÄN</t>
        </is>
      </c>
      <c r="E493" t="inlineStr">
        <is>
          <t>ÄLVSBYN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5650-2024</t>
        </is>
      </c>
      <c r="B494" s="1" t="n">
        <v>45334</v>
      </c>
      <c r="C494" s="1" t="n">
        <v>45824</v>
      </c>
      <c r="D494" t="inlineStr">
        <is>
          <t>NORRBOTTENS LÄN</t>
        </is>
      </c>
      <c r="E494" t="inlineStr">
        <is>
          <t>ÄLVSBYN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5628-2024</t>
        </is>
      </c>
      <c r="B495" s="1" t="n">
        <v>45334</v>
      </c>
      <c r="C495" s="1" t="n">
        <v>45824</v>
      </c>
      <c r="D495" t="inlineStr">
        <is>
          <t>NORRBOTTENS LÄN</t>
        </is>
      </c>
      <c r="E495" t="inlineStr">
        <is>
          <t>ÄLVSBYN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5732-2024</t>
        </is>
      </c>
      <c r="B496" s="1" t="n">
        <v>45334</v>
      </c>
      <c r="C496" s="1" t="n">
        <v>45824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5733-2024</t>
        </is>
      </c>
      <c r="B497" s="1" t="n">
        <v>45334</v>
      </c>
      <c r="C497" s="1" t="n">
        <v>45824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6197-2024</t>
        </is>
      </c>
      <c r="B498" s="1" t="n">
        <v>45337</v>
      </c>
      <c r="C498" s="1" t="n">
        <v>45824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6864-2024</t>
        </is>
      </c>
      <c r="B499" s="1" t="n">
        <v>45342</v>
      </c>
      <c r="C499" s="1" t="n">
        <v>45824</v>
      </c>
      <c r="D499" t="inlineStr">
        <is>
          <t>NORRBOTTENS LÄN</t>
        </is>
      </c>
      <c r="E499" t="inlineStr">
        <is>
          <t>ÄLVSBYN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6899-2024</t>
        </is>
      </c>
      <c r="B500" s="1" t="n">
        <v>45342</v>
      </c>
      <c r="C500" s="1" t="n">
        <v>45824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6866-2024</t>
        </is>
      </c>
      <c r="B501" s="1" t="n">
        <v>45342</v>
      </c>
      <c r="C501" s="1" t="n">
        <v>45824</v>
      </c>
      <c r="D501" t="inlineStr">
        <is>
          <t>NORRBOTTENS LÄN</t>
        </is>
      </c>
      <c r="E501" t="inlineStr">
        <is>
          <t>ÄLVSBYN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7115-2024</t>
        </is>
      </c>
      <c r="B502" s="1" t="n">
        <v>45343</v>
      </c>
      <c r="C502" s="1" t="n">
        <v>45824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7266-2024</t>
        </is>
      </c>
      <c r="B503" s="1" t="n">
        <v>45344</v>
      </c>
      <c r="C503" s="1" t="n">
        <v>45824</v>
      </c>
      <c r="D503" t="inlineStr">
        <is>
          <t>NORRBOTTENS LÄN</t>
        </is>
      </c>
      <c r="E503" t="inlineStr">
        <is>
          <t>ÄLVSBYN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7289-2024</t>
        </is>
      </c>
      <c r="B504" s="1" t="n">
        <v>45344</v>
      </c>
      <c r="C504" s="1" t="n">
        <v>45824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7479-2024</t>
        </is>
      </c>
      <c r="B505" s="1" t="n">
        <v>45345</v>
      </c>
      <c r="C505" s="1" t="n">
        <v>45824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8508-2024</t>
        </is>
      </c>
      <c r="B506" s="1" t="n">
        <v>45351</v>
      </c>
      <c r="C506" s="1" t="n">
        <v>45824</v>
      </c>
      <c r="D506" t="inlineStr">
        <is>
          <t>NORRBOTTENS LÄN</t>
        </is>
      </c>
      <c r="E506" t="inlineStr">
        <is>
          <t>ÄLVSBYN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8517-2024</t>
        </is>
      </c>
      <c r="B507" s="1" t="n">
        <v>45351</v>
      </c>
      <c r="C507" s="1" t="n">
        <v>45824</v>
      </c>
      <c r="D507" t="inlineStr">
        <is>
          <t>NORRBOTTENS LÄN</t>
        </is>
      </c>
      <c r="E507" t="inlineStr">
        <is>
          <t>ÄLVSBYN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8638-2024</t>
        </is>
      </c>
      <c r="B508" s="1" t="n">
        <v>45356</v>
      </c>
      <c r="C508" s="1" t="n">
        <v>45824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8646-2024</t>
        </is>
      </c>
      <c r="B509" s="1" t="n">
        <v>45356</v>
      </c>
      <c r="C509" s="1" t="n">
        <v>45824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8867-2024</t>
        </is>
      </c>
      <c r="B510" s="1" t="n">
        <v>45357</v>
      </c>
      <c r="C510" s="1" t="n">
        <v>45824</v>
      </c>
      <c r="D510" t="inlineStr">
        <is>
          <t>NORRBOTTENS LÄN</t>
        </is>
      </c>
      <c r="E510" t="inlineStr">
        <is>
          <t>ÄLVSBYN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9017-2024</t>
        </is>
      </c>
      <c r="B511" s="1" t="n">
        <v>45356</v>
      </c>
      <c r="C511" s="1" t="n">
        <v>45824</v>
      </c>
      <c r="D511" t="inlineStr">
        <is>
          <t>NORRBOTTENS LÄN</t>
        </is>
      </c>
      <c r="E511" t="inlineStr">
        <is>
          <t>ÄLVSBYN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9022-2024</t>
        </is>
      </c>
      <c r="B512" s="1" t="n">
        <v>45356</v>
      </c>
      <c r="C512" s="1" t="n">
        <v>45824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10040-2024</t>
        </is>
      </c>
      <c r="B513" s="1" t="n">
        <v>45364</v>
      </c>
      <c r="C513" s="1" t="n">
        <v>45824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10206-2024</t>
        </is>
      </c>
      <c r="B514" s="1" t="n">
        <v>45364</v>
      </c>
      <c r="C514" s="1" t="n">
        <v>45824</v>
      </c>
      <c r="D514" t="inlineStr">
        <is>
          <t>NORRBOTTENS LÄN</t>
        </is>
      </c>
      <c r="E514" t="inlineStr">
        <is>
          <t>ÄLVSBYN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10249-2024</t>
        </is>
      </c>
      <c r="B515" s="1" t="n">
        <v>45365</v>
      </c>
      <c r="C515" s="1" t="n">
        <v>45824</v>
      </c>
      <c r="D515" t="inlineStr">
        <is>
          <t>NORRBOTTENS LÄN</t>
        </is>
      </c>
      <c r="E515" t="inlineStr">
        <is>
          <t>ÄLVSBYN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10434-2024</t>
        </is>
      </c>
      <c r="B516" s="1" t="n">
        <v>45365</v>
      </c>
      <c r="C516" s="1" t="n">
        <v>45824</v>
      </c>
      <c r="D516" t="inlineStr">
        <is>
          <t>NORRBOTTENS LÄN</t>
        </is>
      </c>
      <c r="E516" t="inlineStr">
        <is>
          <t>ÄLVSBYN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10871-2024</t>
        </is>
      </c>
      <c r="B517" s="1" t="n">
        <v>45370</v>
      </c>
      <c r="C517" s="1" t="n">
        <v>45824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11654-2024</t>
        </is>
      </c>
      <c r="B518" s="1" t="n">
        <v>45373</v>
      </c>
      <c r="C518" s="1" t="n">
        <v>45824</v>
      </c>
      <c r="D518" t="inlineStr">
        <is>
          <t>NORRBOTTENS LÄN</t>
        </is>
      </c>
      <c r="E518" t="inlineStr">
        <is>
          <t>ÄLVSBYN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12440-2024</t>
        </is>
      </c>
      <c r="B519" s="1" t="n">
        <v>45379</v>
      </c>
      <c r="C519" s="1" t="n">
        <v>45824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14445-2024</t>
        </is>
      </c>
      <c r="B520" s="1" t="n">
        <v>45394</v>
      </c>
      <c r="C520" s="1" t="n">
        <v>45824</v>
      </c>
      <c r="D520" t="inlineStr">
        <is>
          <t>NORRBOTTENS LÄN</t>
        </is>
      </c>
      <c r="E520" t="inlineStr">
        <is>
          <t>ÄLVSBYN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14470-2024</t>
        </is>
      </c>
      <c r="B521" s="1" t="n">
        <v>45394</v>
      </c>
      <c r="C521" s="1" t="n">
        <v>45824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14446-2024</t>
        </is>
      </c>
      <c r="B522" s="1" t="n">
        <v>45394</v>
      </c>
      <c r="C522" s="1" t="n">
        <v>45824</v>
      </c>
      <c r="D522" t="inlineStr">
        <is>
          <t>NORRBOTTENS LÄN</t>
        </is>
      </c>
      <c r="E522" t="inlineStr">
        <is>
          <t>ÄLVSBYN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14579-2024</t>
        </is>
      </c>
      <c r="B523" s="1" t="n">
        <v>45395</v>
      </c>
      <c r="C523" s="1" t="n">
        <v>45824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15417-2024</t>
        </is>
      </c>
      <c r="B524" s="1" t="n">
        <v>45401</v>
      </c>
      <c r="C524" s="1" t="n">
        <v>45824</v>
      </c>
      <c r="D524" t="inlineStr">
        <is>
          <t>NORRBOTTENS LÄN</t>
        </is>
      </c>
      <c r="E524" t="inlineStr">
        <is>
          <t>ÄLVSBYN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15401-2024</t>
        </is>
      </c>
      <c r="B525" s="1" t="n">
        <v>45401</v>
      </c>
      <c r="C525" s="1" t="n">
        <v>45824</v>
      </c>
      <c r="D525" t="inlineStr">
        <is>
          <t>NORRBOTTENS LÄN</t>
        </is>
      </c>
      <c r="E525" t="inlineStr">
        <is>
          <t>ÄLVSBYN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15531-2024</t>
        </is>
      </c>
      <c r="B526" s="1" t="n">
        <v>45401</v>
      </c>
      <c r="C526" s="1" t="n">
        <v>45824</v>
      </c>
      <c r="D526" t="inlineStr">
        <is>
          <t>NORRBOTTENS LÄN</t>
        </is>
      </c>
      <c r="E526" t="inlineStr">
        <is>
          <t>ÄLVSBYN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15410-2024</t>
        </is>
      </c>
      <c r="B527" s="1" t="n">
        <v>45401</v>
      </c>
      <c r="C527" s="1" t="n">
        <v>45824</v>
      </c>
      <c r="D527" t="inlineStr">
        <is>
          <t>NORRBOTTENS LÄN</t>
        </is>
      </c>
      <c r="E527" t="inlineStr">
        <is>
          <t>ÄLVSBYN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15845-2024</t>
        </is>
      </c>
      <c r="B528" s="1" t="n">
        <v>45404</v>
      </c>
      <c r="C528" s="1" t="n">
        <v>45824</v>
      </c>
      <c r="D528" t="inlineStr">
        <is>
          <t>NORRBOTTENS LÄN</t>
        </is>
      </c>
      <c r="E528" t="inlineStr">
        <is>
          <t>ÄLVSBYN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15936-2024</t>
        </is>
      </c>
      <c r="B529" s="1" t="n">
        <v>45405</v>
      </c>
      <c r="C529" s="1" t="n">
        <v>45824</v>
      </c>
      <c r="D529" t="inlineStr">
        <is>
          <t>NORRBOTTENS LÄN</t>
        </is>
      </c>
      <c r="E529" t="inlineStr">
        <is>
          <t>ÄLVSBYN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15959-2024</t>
        </is>
      </c>
      <c r="B530" s="1" t="n">
        <v>45405</v>
      </c>
      <c r="C530" s="1" t="n">
        <v>45824</v>
      </c>
      <c r="D530" t="inlineStr">
        <is>
          <t>NORRBOTTENS LÄN</t>
        </is>
      </c>
      <c r="E530" t="inlineStr">
        <is>
          <t>ÄLVSBYN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16057-2024</t>
        </is>
      </c>
      <c r="B531" s="1" t="n">
        <v>45406</v>
      </c>
      <c r="C531" s="1" t="n">
        <v>45824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16204-2024</t>
        </is>
      </c>
      <c r="B532" s="1" t="n">
        <v>45406</v>
      </c>
      <c r="C532" s="1" t="n">
        <v>45824</v>
      </c>
      <c r="D532" t="inlineStr">
        <is>
          <t>NORRBOTTENS LÄN</t>
        </is>
      </c>
      <c r="E532" t="inlineStr">
        <is>
          <t>ÄLVSBYN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16347-2024</t>
        </is>
      </c>
      <c r="B533" s="1" t="n">
        <v>45407</v>
      </c>
      <c r="C533" s="1" t="n">
        <v>45824</v>
      </c>
      <c r="D533" t="inlineStr">
        <is>
          <t>NORRBOTTENS LÄN</t>
        </is>
      </c>
      <c r="E533" t="inlineStr">
        <is>
          <t>ÄLVSBYN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17594-2024</t>
        </is>
      </c>
      <c r="B534" s="1" t="n">
        <v>45416</v>
      </c>
      <c r="C534" s="1" t="n">
        <v>45824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19998-2024</t>
        </is>
      </c>
      <c r="B535" s="1" t="n">
        <v>45434</v>
      </c>
      <c r="C535" s="1" t="n">
        <v>45824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20253-2024</t>
        </is>
      </c>
      <c r="B536" s="1" t="n">
        <v>45434</v>
      </c>
      <c r="C536" s="1" t="n">
        <v>45824</v>
      </c>
      <c r="D536" t="inlineStr">
        <is>
          <t>NORRBOTTENS LÄN</t>
        </is>
      </c>
      <c r="E536" t="inlineStr">
        <is>
          <t>ÄLVSBYN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20254-2024</t>
        </is>
      </c>
      <c r="B537" s="1" t="n">
        <v>45434</v>
      </c>
      <c r="C537" s="1" t="n">
        <v>45824</v>
      </c>
      <c r="D537" t="inlineStr">
        <is>
          <t>NORRBOTTENS LÄN</t>
        </is>
      </c>
      <c r="E537" t="inlineStr">
        <is>
          <t>ÄLVSBYN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20959-2024</t>
        </is>
      </c>
      <c r="B538" s="1" t="n">
        <v>45439</v>
      </c>
      <c r="C538" s="1" t="n">
        <v>45824</v>
      </c>
      <c r="D538" t="inlineStr">
        <is>
          <t>NORRBOTTENS LÄN</t>
        </is>
      </c>
      <c r="E538" t="inlineStr">
        <is>
          <t>ÄLVSBYN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20942-2024</t>
        </is>
      </c>
      <c r="B539" s="1" t="n">
        <v>45439</v>
      </c>
      <c r="C539" s="1" t="n">
        <v>45824</v>
      </c>
      <c r="D539" t="inlineStr">
        <is>
          <t>NORRBOTTENS LÄN</t>
        </is>
      </c>
      <c r="E539" t="inlineStr">
        <is>
          <t>ÄLVSBYN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21258-2024</t>
        </is>
      </c>
      <c r="B540" s="1" t="n">
        <v>45440</v>
      </c>
      <c r="C540" s="1" t="n">
        <v>45824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21365-2024</t>
        </is>
      </c>
      <c r="B541" s="1" t="n">
        <v>45440</v>
      </c>
      <c r="C541" s="1" t="n">
        <v>45824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21523-2024</t>
        </is>
      </c>
      <c r="B542" s="1" t="n">
        <v>45441</v>
      </c>
      <c r="C542" s="1" t="n">
        <v>45824</v>
      </c>
      <c r="D542" t="inlineStr">
        <is>
          <t>NORRBOTTENS LÄN</t>
        </is>
      </c>
      <c r="E542" t="inlineStr">
        <is>
          <t>ÄLVSBYN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21501-2024</t>
        </is>
      </c>
      <c r="B543" s="1" t="n">
        <v>45441</v>
      </c>
      <c r="C543" s="1" t="n">
        <v>45824</v>
      </c>
      <c r="D543" t="inlineStr">
        <is>
          <t>NORRBOTTENS LÄN</t>
        </is>
      </c>
      <c r="E543" t="inlineStr">
        <is>
          <t>ÄLVSBYN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21743-2024</t>
        </is>
      </c>
      <c r="B544" s="1" t="n">
        <v>45442</v>
      </c>
      <c r="C544" s="1" t="n">
        <v>45824</v>
      </c>
      <c r="D544" t="inlineStr">
        <is>
          <t>NORRBOTTENS LÄN</t>
        </is>
      </c>
      <c r="E544" t="inlineStr">
        <is>
          <t>ÄLVSBYN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22034-2024</t>
        </is>
      </c>
      <c r="B545" s="1" t="n">
        <v>45443</v>
      </c>
      <c r="C545" s="1" t="n">
        <v>45824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21857-2024</t>
        </is>
      </c>
      <c r="B546" s="1" t="n">
        <v>45443</v>
      </c>
      <c r="C546" s="1" t="n">
        <v>45824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21977-2024</t>
        </is>
      </c>
      <c r="B547" s="1" t="n">
        <v>45443</v>
      </c>
      <c r="C547" s="1" t="n">
        <v>45824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22810-2024</t>
        </is>
      </c>
      <c r="B548" s="1" t="n">
        <v>45448</v>
      </c>
      <c r="C548" s="1" t="n">
        <v>45824</v>
      </c>
      <c r="D548" t="inlineStr">
        <is>
          <t>NORRBOTTENS LÄN</t>
        </is>
      </c>
      <c r="E548" t="inlineStr">
        <is>
          <t>ÄLVSBYN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22807-2024</t>
        </is>
      </c>
      <c r="B549" s="1" t="n">
        <v>45448</v>
      </c>
      <c r="C549" s="1" t="n">
        <v>45824</v>
      </c>
      <c r="D549" t="inlineStr">
        <is>
          <t>NORRBOTTENS LÄN</t>
        </is>
      </c>
      <c r="E549" t="inlineStr">
        <is>
          <t>ÄLVSBYN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23136-2024</t>
        </is>
      </c>
      <c r="B550" s="1" t="n">
        <v>45450</v>
      </c>
      <c r="C550" s="1" t="n">
        <v>45824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23415-2024</t>
        </is>
      </c>
      <c r="B551" s="1" t="n">
        <v>45453</v>
      </c>
      <c r="C551" s="1" t="n">
        <v>45824</v>
      </c>
      <c r="D551" t="inlineStr">
        <is>
          <t>NORRBOTTENS LÄN</t>
        </is>
      </c>
      <c r="E551" t="inlineStr">
        <is>
          <t>ÄLVSBYN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25103-2024</t>
        </is>
      </c>
      <c r="B552" s="1" t="n">
        <v>45462</v>
      </c>
      <c r="C552" s="1" t="n">
        <v>45824</v>
      </c>
      <c r="D552" t="inlineStr">
        <is>
          <t>NORRBOTTENS LÄN</t>
        </is>
      </c>
      <c r="E552" t="inlineStr">
        <is>
          <t>ÄLVSBYN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25420-2024</t>
        </is>
      </c>
      <c r="B553" s="1" t="n">
        <v>45463</v>
      </c>
      <c r="C553" s="1" t="n">
        <v>45824</v>
      </c>
      <c r="D553" t="inlineStr">
        <is>
          <t>NORRBOTTENS LÄN</t>
        </is>
      </c>
      <c r="E553" t="inlineStr">
        <is>
          <t>ÄLVSBYN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25457-2024</t>
        </is>
      </c>
      <c r="B554" s="1" t="n">
        <v>45463</v>
      </c>
      <c r="C554" s="1" t="n">
        <v>45824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26003-2024</t>
        </is>
      </c>
      <c r="B555" s="1" t="n">
        <v>45467</v>
      </c>
      <c r="C555" s="1" t="n">
        <v>45824</v>
      </c>
      <c r="D555" t="inlineStr">
        <is>
          <t>NORRBOTTENS LÄN</t>
        </is>
      </c>
      <c r="E555" t="inlineStr">
        <is>
          <t>ÄLVSBYN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26276-2024</t>
        </is>
      </c>
      <c r="B556" s="1" t="n">
        <v>45468</v>
      </c>
      <c r="C556" s="1" t="n">
        <v>45824</v>
      </c>
      <c r="D556" t="inlineStr">
        <is>
          <t>NORRBOTTENS LÄN</t>
        </is>
      </c>
      <c r="E556" t="inlineStr">
        <is>
          <t>ÄLVSBYN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26727-2024</t>
        </is>
      </c>
      <c r="B557" s="1" t="n">
        <v>45470</v>
      </c>
      <c r="C557" s="1" t="n">
        <v>45824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27550-2024</t>
        </is>
      </c>
      <c r="B558" s="1" t="n">
        <v>45474</v>
      </c>
      <c r="C558" s="1" t="n">
        <v>45824</v>
      </c>
      <c r="D558" t="inlineStr">
        <is>
          <t>NORRBOTTENS LÄN</t>
        </is>
      </c>
      <c r="E558" t="inlineStr">
        <is>
          <t>ÄLVSBYN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27912-2024</t>
        </is>
      </c>
      <c r="B559" s="1" t="n">
        <v>45476</v>
      </c>
      <c r="C559" s="1" t="n">
        <v>45824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28163-2024</t>
        </is>
      </c>
      <c r="B560" s="1" t="n">
        <v>45477</v>
      </c>
      <c r="C560" s="1" t="n">
        <v>45824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28513-2024</t>
        </is>
      </c>
      <c r="B561" s="1" t="n">
        <v>45478</v>
      </c>
      <c r="C561" s="1" t="n">
        <v>45824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28358-2024</t>
        </is>
      </c>
      <c r="B562" s="1" t="n">
        <v>45477</v>
      </c>
      <c r="C562" s="1" t="n">
        <v>45824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28314-2024</t>
        </is>
      </c>
      <c r="B563" s="1" t="n">
        <v>45477</v>
      </c>
      <c r="C563" s="1" t="n">
        <v>45824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28862-2024</t>
        </is>
      </c>
      <c r="B564" s="1" t="n">
        <v>45479</v>
      </c>
      <c r="C564" s="1" t="n">
        <v>45824</v>
      </c>
      <c r="D564" t="inlineStr">
        <is>
          <t>NORRBOTTENS LÄN</t>
        </is>
      </c>
      <c r="E564" t="inlineStr">
        <is>
          <t>ÄLVSBYN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29110-2024</t>
        </is>
      </c>
      <c r="B565" s="1" t="n">
        <v>45482</v>
      </c>
      <c r="C565" s="1" t="n">
        <v>45824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29112-2024</t>
        </is>
      </c>
      <c r="B566" s="1" t="n">
        <v>45482</v>
      </c>
      <c r="C566" s="1" t="n">
        <v>45824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29111-2024</t>
        </is>
      </c>
      <c r="B567" s="1" t="n">
        <v>45482</v>
      </c>
      <c r="C567" s="1" t="n">
        <v>45824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29683-2024</t>
        </is>
      </c>
      <c r="B568" s="1" t="n">
        <v>45485</v>
      </c>
      <c r="C568" s="1" t="n">
        <v>45824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29682-2024</t>
        </is>
      </c>
      <c r="B569" s="1" t="n">
        <v>45485</v>
      </c>
      <c r="C569" s="1" t="n">
        <v>45824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30500-2024</t>
        </is>
      </c>
      <c r="B570" s="1" t="n">
        <v>45492</v>
      </c>
      <c r="C570" s="1" t="n">
        <v>45824</v>
      </c>
      <c r="D570" t="inlineStr">
        <is>
          <t>NORRBOTTENS LÄN</t>
        </is>
      </c>
      <c r="E570" t="inlineStr">
        <is>
          <t>ÄLVSBYN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30499-2024</t>
        </is>
      </c>
      <c r="B571" s="1" t="n">
        <v>45492</v>
      </c>
      <c r="C571" s="1" t="n">
        <v>45824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30606-2024</t>
        </is>
      </c>
      <c r="B572" s="1" t="n">
        <v>45495</v>
      </c>
      <c r="C572" s="1" t="n">
        <v>45824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30690-2024</t>
        </is>
      </c>
      <c r="B573" s="1" t="n">
        <v>45496</v>
      </c>
      <c r="C573" s="1" t="n">
        <v>45824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30688-2024</t>
        </is>
      </c>
      <c r="B574" s="1" t="n">
        <v>45496</v>
      </c>
      <c r="C574" s="1" t="n">
        <v>45824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31452-2024</t>
        </is>
      </c>
      <c r="B575" s="1" t="n">
        <v>45505</v>
      </c>
      <c r="C575" s="1" t="n">
        <v>45824</v>
      </c>
      <c r="D575" t="inlineStr">
        <is>
          <t>NORRBOTTENS LÄN</t>
        </is>
      </c>
      <c r="E575" t="inlineStr">
        <is>
          <t>ÄLVSBYN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31553-2024</t>
        </is>
      </c>
      <c r="B576" s="1" t="n">
        <v>45505</v>
      </c>
      <c r="C576" s="1" t="n">
        <v>45824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31900-2024</t>
        </is>
      </c>
      <c r="B577" s="1" t="n">
        <v>45510</v>
      </c>
      <c r="C577" s="1" t="n">
        <v>45824</v>
      </c>
      <c r="D577" t="inlineStr">
        <is>
          <t>NORRBOTTENS LÄN</t>
        </is>
      </c>
      <c r="E577" t="inlineStr">
        <is>
          <t>ÄLVSBYN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32195-2024</t>
        </is>
      </c>
      <c r="B578" s="1" t="n">
        <v>45511</v>
      </c>
      <c r="C578" s="1" t="n">
        <v>45824</v>
      </c>
      <c r="D578" t="inlineStr">
        <is>
          <t>NORRBOTTENS LÄN</t>
        </is>
      </c>
      <c r="E578" t="inlineStr">
        <is>
          <t>ÄLVSBYN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32202-2024</t>
        </is>
      </c>
      <c r="B579" s="1" t="n">
        <v>45511</v>
      </c>
      <c r="C579" s="1" t="n">
        <v>45824</v>
      </c>
      <c r="D579" t="inlineStr">
        <is>
          <t>NORRBOTTENS LÄN</t>
        </is>
      </c>
      <c r="E579" t="inlineStr">
        <is>
          <t>ÄLVSBYN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32657-2024</t>
        </is>
      </c>
      <c r="B580" s="1" t="n">
        <v>45513</v>
      </c>
      <c r="C580" s="1" t="n">
        <v>45824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32642-2024</t>
        </is>
      </c>
      <c r="B581" s="1" t="n">
        <v>45514</v>
      </c>
      <c r="C581" s="1" t="n">
        <v>45824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32643-2024</t>
        </is>
      </c>
      <c r="B582" s="1" t="n">
        <v>45514</v>
      </c>
      <c r="C582" s="1" t="n">
        <v>45824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32905-2024</t>
        </is>
      </c>
      <c r="B583" s="1" t="n">
        <v>45516</v>
      </c>
      <c r="C583" s="1" t="n">
        <v>45824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32952-2024</t>
        </is>
      </c>
      <c r="B584" s="1" t="n">
        <v>45517</v>
      </c>
      <c r="C584" s="1" t="n">
        <v>45824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32955-2024</t>
        </is>
      </c>
      <c r="B585" s="1" t="n">
        <v>45517</v>
      </c>
      <c r="C585" s="1" t="n">
        <v>45824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33303-2024</t>
        </is>
      </c>
      <c r="B586" s="1" t="n">
        <v>45519</v>
      </c>
      <c r="C586" s="1" t="n">
        <v>45824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33234-2024</t>
        </is>
      </c>
      <c r="B587" s="1" t="n">
        <v>45518</v>
      </c>
      <c r="C587" s="1" t="n">
        <v>45824</v>
      </c>
      <c r="D587" t="inlineStr">
        <is>
          <t>NORRBOTTENS LÄN</t>
        </is>
      </c>
      <c r="E587" t="inlineStr">
        <is>
          <t>ÄLVSBYN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33336-2024</t>
        </is>
      </c>
      <c r="B588" s="1" t="n">
        <v>45519</v>
      </c>
      <c r="C588" s="1" t="n">
        <v>45824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33946-2024</t>
        </is>
      </c>
      <c r="B589" s="1" t="n">
        <v>45523</v>
      </c>
      <c r="C589" s="1" t="n">
        <v>45824</v>
      </c>
      <c r="D589" t="inlineStr">
        <is>
          <t>NORRBOTTENS LÄN</t>
        </is>
      </c>
      <c r="E589" t="inlineStr">
        <is>
          <t>ÄLVSBYN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34356-2024</t>
        </is>
      </c>
      <c r="B590" s="1" t="n">
        <v>45525</v>
      </c>
      <c r="C590" s="1" t="n">
        <v>45824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34448-2024</t>
        </is>
      </c>
      <c r="B591" s="1" t="n">
        <v>45525</v>
      </c>
      <c r="C591" s="1" t="n">
        <v>45824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34693-2024</t>
        </is>
      </c>
      <c r="B592" s="1" t="n">
        <v>45526</v>
      </c>
      <c r="C592" s="1" t="n">
        <v>45824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35538-2024</t>
        </is>
      </c>
      <c r="B593" s="1" t="n">
        <v>45531</v>
      </c>
      <c r="C593" s="1" t="n">
        <v>45824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35877-2024</t>
        </is>
      </c>
      <c r="B594" s="1" t="n">
        <v>45533</v>
      </c>
      <c r="C594" s="1" t="n">
        <v>45824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37291-2024</t>
        </is>
      </c>
      <c r="B595" s="1" t="n">
        <v>45540</v>
      </c>
      <c r="C595" s="1" t="n">
        <v>45824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37412-2024</t>
        </is>
      </c>
      <c r="B596" s="1" t="n">
        <v>45540</v>
      </c>
      <c r="C596" s="1" t="n">
        <v>45824</v>
      </c>
      <c r="D596" t="inlineStr">
        <is>
          <t>NORRBOTTENS LÄN</t>
        </is>
      </c>
      <c r="E596" t="inlineStr">
        <is>
          <t>ÄLVSBYN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37407-2024</t>
        </is>
      </c>
      <c r="B597" s="1" t="n">
        <v>45540</v>
      </c>
      <c r="C597" s="1" t="n">
        <v>45824</v>
      </c>
      <c r="D597" t="inlineStr">
        <is>
          <t>NORRBOTTENS LÄN</t>
        </is>
      </c>
      <c r="E597" t="inlineStr">
        <is>
          <t>ÄLVSBYN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37740-2024</t>
        </is>
      </c>
      <c r="B598" s="1" t="n">
        <v>45541</v>
      </c>
      <c r="C598" s="1" t="n">
        <v>45824</v>
      </c>
      <c r="D598" t="inlineStr">
        <is>
          <t>NORRBOTTENS LÄN</t>
        </is>
      </c>
      <c r="E598" t="inlineStr">
        <is>
          <t>ÄLVSBYN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37744-2024</t>
        </is>
      </c>
      <c r="B599" s="1" t="n">
        <v>45541</v>
      </c>
      <c r="C599" s="1" t="n">
        <v>45824</v>
      </c>
      <c r="D599" t="inlineStr">
        <is>
          <t>NORRBOTTENS LÄN</t>
        </is>
      </c>
      <c r="E599" t="inlineStr">
        <is>
          <t>ÄLVSBYN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37743-2024</t>
        </is>
      </c>
      <c r="B600" s="1" t="n">
        <v>45541</v>
      </c>
      <c r="C600" s="1" t="n">
        <v>45824</v>
      </c>
      <c r="D600" t="inlineStr">
        <is>
          <t>NORRBOTTENS LÄN</t>
        </is>
      </c>
      <c r="E600" t="inlineStr">
        <is>
          <t>ÄLVSBYN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37741-2024</t>
        </is>
      </c>
      <c r="B601" s="1" t="n">
        <v>45541</v>
      </c>
      <c r="C601" s="1" t="n">
        <v>45824</v>
      </c>
      <c r="D601" t="inlineStr">
        <is>
          <t>NORRBOTTENS LÄN</t>
        </is>
      </c>
      <c r="E601" t="inlineStr">
        <is>
          <t>ÄLVSBYN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37745-2024</t>
        </is>
      </c>
      <c r="B602" s="1" t="n">
        <v>45541</v>
      </c>
      <c r="C602" s="1" t="n">
        <v>45824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38254-2024</t>
        </is>
      </c>
      <c r="B603" s="1" t="n">
        <v>45545</v>
      </c>
      <c r="C603" s="1" t="n">
        <v>45824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38311-2024</t>
        </is>
      </c>
      <c r="B604" s="1" t="n">
        <v>45545</v>
      </c>
      <c r="C604" s="1" t="n">
        <v>45824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38682-2024</t>
        </is>
      </c>
      <c r="B605" s="1" t="n">
        <v>45547</v>
      </c>
      <c r="C605" s="1" t="n">
        <v>45824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38999-2024</t>
        </is>
      </c>
      <c r="B606" s="1" t="n">
        <v>45548</v>
      </c>
      <c r="C606" s="1" t="n">
        <v>45824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39020-2024</t>
        </is>
      </c>
      <c r="B607" s="1" t="n">
        <v>45548</v>
      </c>
      <c r="C607" s="1" t="n">
        <v>45824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39267-2024</t>
        </is>
      </c>
      <c r="B608" s="1" t="n">
        <v>45551</v>
      </c>
      <c r="C608" s="1" t="n">
        <v>45824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39604-2024</t>
        </is>
      </c>
      <c r="B609" s="1" t="n">
        <v>45552</v>
      </c>
      <c r="C609" s="1" t="n">
        <v>45824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39645-2024</t>
        </is>
      </c>
      <c r="B610" s="1" t="n">
        <v>45552</v>
      </c>
      <c r="C610" s="1" t="n">
        <v>45824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39668-2024</t>
        </is>
      </c>
      <c r="B611" s="1" t="n">
        <v>45552</v>
      </c>
      <c r="C611" s="1" t="n">
        <v>45824</v>
      </c>
      <c r="D611" t="inlineStr">
        <is>
          <t>NORRBOTTENS LÄN</t>
        </is>
      </c>
      <c r="E611" t="inlineStr">
        <is>
          <t>ÄLVSBYN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40284-2024</t>
        </is>
      </c>
      <c r="B612" s="1" t="n">
        <v>45554</v>
      </c>
      <c r="C612" s="1" t="n">
        <v>45824</v>
      </c>
      <c r="D612" t="inlineStr">
        <is>
          <t>NORRBOTTENS LÄN</t>
        </is>
      </c>
      <c r="E612" t="inlineStr">
        <is>
          <t>ÄLVSBYN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40282-2024</t>
        </is>
      </c>
      <c r="B613" s="1" t="n">
        <v>45554</v>
      </c>
      <c r="C613" s="1" t="n">
        <v>45824</v>
      </c>
      <c r="D613" t="inlineStr">
        <is>
          <t>NORRBOTTENS LÄN</t>
        </is>
      </c>
      <c r="E613" t="inlineStr">
        <is>
          <t>ÄLVSBYN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41025-2024</t>
        </is>
      </c>
      <c r="B614" s="1" t="n">
        <v>45559</v>
      </c>
      <c r="C614" s="1" t="n">
        <v>45824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41845-2024</t>
        </is>
      </c>
      <c r="B615" s="1" t="n">
        <v>45561</v>
      </c>
      <c r="C615" s="1" t="n">
        <v>45824</v>
      </c>
      <c r="D615" t="inlineStr">
        <is>
          <t>NORRBOTTENS LÄN</t>
        </is>
      </c>
      <c r="E615" t="inlineStr">
        <is>
          <t>ÄLVSBYN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41989-2024</t>
        </is>
      </c>
      <c r="B616" s="1" t="n">
        <v>45561</v>
      </c>
      <c r="C616" s="1" t="n">
        <v>45824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41964-2024</t>
        </is>
      </c>
      <c r="B617" s="1" t="n">
        <v>45561</v>
      </c>
      <c r="C617" s="1" t="n">
        <v>45824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42255-2024</t>
        </is>
      </c>
      <c r="B618" s="1" t="n">
        <v>45562</v>
      </c>
      <c r="C618" s="1" t="n">
        <v>45824</v>
      </c>
      <c r="D618" t="inlineStr">
        <is>
          <t>NORRBOTTENS LÄN</t>
        </is>
      </c>
      <c r="E618" t="inlineStr">
        <is>
          <t>ÄLVSBYN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42252-2024</t>
        </is>
      </c>
      <c r="B619" s="1" t="n">
        <v>45562</v>
      </c>
      <c r="C619" s="1" t="n">
        <v>45824</v>
      </c>
      <c r="D619" t="inlineStr">
        <is>
          <t>NORRBOTTENS LÄN</t>
        </is>
      </c>
      <c r="E619" t="inlineStr">
        <is>
          <t>ÄLVSBYN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42444-2024</t>
        </is>
      </c>
      <c r="B620" s="1" t="n">
        <v>45565</v>
      </c>
      <c r="C620" s="1" t="n">
        <v>45824</v>
      </c>
      <c r="D620" t="inlineStr">
        <is>
          <t>NORRBOTTENS LÄN</t>
        </is>
      </c>
      <c r="E620" t="inlineStr">
        <is>
          <t>ÄLVSBYN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42477-2024</t>
        </is>
      </c>
      <c r="B621" s="1" t="n">
        <v>45565</v>
      </c>
      <c r="C621" s="1" t="n">
        <v>45824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42499-2024</t>
        </is>
      </c>
      <c r="B622" s="1" t="n">
        <v>45565</v>
      </c>
      <c r="C622" s="1" t="n">
        <v>45824</v>
      </c>
      <c r="D622" t="inlineStr">
        <is>
          <t>NORRBOTTENS LÄN</t>
        </is>
      </c>
      <c r="E622" t="inlineStr">
        <is>
          <t>ÄLVSBYN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42568-2024</t>
        </is>
      </c>
      <c r="B623" s="1" t="n">
        <v>45565</v>
      </c>
      <c r="C623" s="1" t="n">
        <v>45824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42505-2024</t>
        </is>
      </c>
      <c r="B624" s="1" t="n">
        <v>45565</v>
      </c>
      <c r="C624" s="1" t="n">
        <v>45824</v>
      </c>
      <c r="D624" t="inlineStr">
        <is>
          <t>NORRBOTTENS LÄN</t>
        </is>
      </c>
      <c r="E624" t="inlineStr">
        <is>
          <t>ÄLVSBYN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42574-2024</t>
        </is>
      </c>
      <c r="B625" s="1" t="n">
        <v>45565</v>
      </c>
      <c r="C625" s="1" t="n">
        <v>45824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42483-2024</t>
        </is>
      </c>
      <c r="B626" s="1" t="n">
        <v>45565</v>
      </c>
      <c r="C626" s="1" t="n">
        <v>45824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42558-2024</t>
        </is>
      </c>
      <c r="B627" s="1" t="n">
        <v>45565</v>
      </c>
      <c r="C627" s="1" t="n">
        <v>45824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42475-2024</t>
        </is>
      </c>
      <c r="B628" s="1" t="n">
        <v>45565</v>
      </c>
      <c r="C628" s="1" t="n">
        <v>45824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42506-2024</t>
        </is>
      </c>
      <c r="B629" s="1" t="n">
        <v>45565</v>
      </c>
      <c r="C629" s="1" t="n">
        <v>45824</v>
      </c>
      <c r="D629" t="inlineStr">
        <is>
          <t>NORRBOTTENS LÄN</t>
        </is>
      </c>
      <c r="E629" t="inlineStr">
        <is>
          <t>ÄLVSBYN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42723-2024</t>
        </is>
      </c>
      <c r="B630" s="1" t="n">
        <v>45566</v>
      </c>
      <c r="C630" s="1" t="n">
        <v>45824</v>
      </c>
      <c r="D630" t="inlineStr">
        <is>
          <t>NORRBOTTENS LÄN</t>
        </is>
      </c>
      <c r="E630" t="inlineStr">
        <is>
          <t>ÄLVSBYN</t>
        </is>
      </c>
      <c r="F630" t="inlineStr">
        <is>
          <t>Övriga Aktiebolag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42955-2024</t>
        </is>
      </c>
      <c r="B631" s="1" t="n">
        <v>45567</v>
      </c>
      <c r="C631" s="1" t="n">
        <v>45824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43775-2024</t>
        </is>
      </c>
      <c r="B632" s="1" t="n">
        <v>45570</v>
      </c>
      <c r="C632" s="1" t="n">
        <v>45824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43776-2024</t>
        </is>
      </c>
      <c r="B633" s="1" t="n">
        <v>45570</v>
      </c>
      <c r="C633" s="1" t="n">
        <v>45824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44365-2024</t>
        </is>
      </c>
      <c r="B634" s="1" t="n">
        <v>45573</v>
      </c>
      <c r="C634" s="1" t="n">
        <v>45824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44348-2024</t>
        </is>
      </c>
      <c r="B635" s="1" t="n">
        <v>45573</v>
      </c>
      <c r="C635" s="1" t="n">
        <v>45824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44213-2024</t>
        </is>
      </c>
      <c r="B636" s="1" t="n">
        <v>45573</v>
      </c>
      <c r="C636" s="1" t="n">
        <v>45824</v>
      </c>
      <c r="D636" t="inlineStr">
        <is>
          <t>NORRBOTTENS LÄN</t>
        </is>
      </c>
      <c r="E636" t="inlineStr">
        <is>
          <t>ÄLVSBYN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44629-2024</t>
        </is>
      </c>
      <c r="B637" s="1" t="n">
        <v>45574</v>
      </c>
      <c r="C637" s="1" t="n">
        <v>45824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45302-2024</t>
        </is>
      </c>
      <c r="B638" s="1" t="n">
        <v>45576</v>
      </c>
      <c r="C638" s="1" t="n">
        <v>45824</v>
      </c>
      <c r="D638" t="inlineStr">
        <is>
          <t>NORRBOTTENS LÄN</t>
        </is>
      </c>
      <c r="E638" t="inlineStr">
        <is>
          <t>ÄLVSBYN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45808-2024</t>
        </is>
      </c>
      <c r="B639" s="1" t="n">
        <v>45579</v>
      </c>
      <c r="C639" s="1" t="n">
        <v>45824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45724-2024</t>
        </is>
      </c>
      <c r="B640" s="1" t="n">
        <v>45579</v>
      </c>
      <c r="C640" s="1" t="n">
        <v>45824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45949-2024</t>
        </is>
      </c>
      <c r="B641" s="1" t="n">
        <v>45580</v>
      </c>
      <c r="C641" s="1" t="n">
        <v>45824</v>
      </c>
      <c r="D641" t="inlineStr">
        <is>
          <t>NORRBOTTENS LÄN</t>
        </is>
      </c>
      <c r="E641" t="inlineStr">
        <is>
          <t>ÄLVSBYN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46784-2024</t>
        </is>
      </c>
      <c r="B642" s="1" t="n">
        <v>45583</v>
      </c>
      <c r="C642" s="1" t="n">
        <v>45824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46838-2024</t>
        </is>
      </c>
      <c r="B643" s="1" t="n">
        <v>45583</v>
      </c>
      <c r="C643" s="1" t="n">
        <v>45824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46786-2024</t>
        </is>
      </c>
      <c r="B644" s="1" t="n">
        <v>45583</v>
      </c>
      <c r="C644" s="1" t="n">
        <v>45824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47370-2024</t>
        </is>
      </c>
      <c r="B645" s="1" t="n">
        <v>45587</v>
      </c>
      <c r="C645" s="1" t="n">
        <v>45824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47394-2024</t>
        </is>
      </c>
      <c r="B646" s="1" t="n">
        <v>45587</v>
      </c>
      <c r="C646" s="1" t="n">
        <v>45824</v>
      </c>
      <c r="D646" t="inlineStr">
        <is>
          <t>NORRBOTTENS LÄN</t>
        </is>
      </c>
      <c r="E646" t="inlineStr">
        <is>
          <t>ÄLVSBYN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47373-2024</t>
        </is>
      </c>
      <c r="B647" s="1" t="n">
        <v>45587</v>
      </c>
      <c r="C647" s="1" t="n">
        <v>45824</v>
      </c>
      <c r="D647" t="inlineStr">
        <is>
          <t>NORRBOTTENS LÄN</t>
        </is>
      </c>
      <c r="E647" t="inlineStr">
        <is>
          <t>ÄLVSBYN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47369-2024</t>
        </is>
      </c>
      <c r="B648" s="1" t="n">
        <v>45587</v>
      </c>
      <c r="C648" s="1" t="n">
        <v>45824</v>
      </c>
      <c r="D648" t="inlineStr">
        <is>
          <t>NORRBOTTENS LÄN</t>
        </is>
      </c>
      <c r="E648" t="inlineStr">
        <is>
          <t>ÄLVSBYN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47371-2024</t>
        </is>
      </c>
      <c r="B649" s="1" t="n">
        <v>45587</v>
      </c>
      <c r="C649" s="1" t="n">
        <v>45824</v>
      </c>
      <c r="D649" t="inlineStr">
        <is>
          <t>NORRBOTTENS LÄN</t>
        </is>
      </c>
      <c r="E649" t="inlineStr">
        <is>
          <t>ÄLVSBYN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47372-2024</t>
        </is>
      </c>
      <c r="B650" s="1" t="n">
        <v>45587</v>
      </c>
      <c r="C650" s="1" t="n">
        <v>45824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47752-2024</t>
        </is>
      </c>
      <c r="B651" s="1" t="n">
        <v>45588</v>
      </c>
      <c r="C651" s="1" t="n">
        <v>45824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47756-2024</t>
        </is>
      </c>
      <c r="B652" s="1" t="n">
        <v>45588</v>
      </c>
      <c r="C652" s="1" t="n">
        <v>45824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48835-2024</t>
        </is>
      </c>
      <c r="B653" s="1" t="n">
        <v>45593</v>
      </c>
      <c r="C653" s="1" t="n">
        <v>45824</v>
      </c>
      <c r="D653" t="inlineStr">
        <is>
          <t>NORRBOTTENS LÄN</t>
        </is>
      </c>
      <c r="E653" t="inlineStr">
        <is>
          <t>ÄLVSBYN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50310-2024</t>
        </is>
      </c>
      <c r="B654" s="1" t="n">
        <v>45600</v>
      </c>
      <c r="C654" s="1" t="n">
        <v>45824</v>
      </c>
      <c r="D654" t="inlineStr">
        <is>
          <t>NORRBOTTENS LÄN</t>
        </is>
      </c>
      <c r="E654" t="inlineStr">
        <is>
          <t>ÄLVSBYN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50598-2024</t>
        </is>
      </c>
      <c r="B655" s="1" t="n">
        <v>45601</v>
      </c>
      <c r="C655" s="1" t="n">
        <v>45824</v>
      </c>
      <c r="D655" t="inlineStr">
        <is>
          <t>NORRBOTTENS LÄN</t>
        </is>
      </c>
      <c r="E655" t="inlineStr">
        <is>
          <t>ÄLVSBYN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50596-2024</t>
        </is>
      </c>
      <c r="B656" s="1" t="n">
        <v>45601</v>
      </c>
      <c r="C656" s="1" t="n">
        <v>45824</v>
      </c>
      <c r="D656" t="inlineStr">
        <is>
          <t>NORRBOTTENS LÄN</t>
        </is>
      </c>
      <c r="E656" t="inlineStr">
        <is>
          <t>ÄLVSBYN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50672-2024</t>
        </is>
      </c>
      <c r="B657" s="1" t="n">
        <v>45601</v>
      </c>
      <c r="C657" s="1" t="n">
        <v>45824</v>
      </c>
      <c r="D657" t="inlineStr">
        <is>
          <t>NORRBOTTENS LÄN</t>
        </is>
      </c>
      <c r="E657" t="inlineStr">
        <is>
          <t>ÄLVSBYN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50597-2024</t>
        </is>
      </c>
      <c r="B658" s="1" t="n">
        <v>45601</v>
      </c>
      <c r="C658" s="1" t="n">
        <v>45824</v>
      </c>
      <c r="D658" t="inlineStr">
        <is>
          <t>NORRBOTTENS LÄN</t>
        </is>
      </c>
      <c r="E658" t="inlineStr">
        <is>
          <t>ÄLVSBYN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50595-2024</t>
        </is>
      </c>
      <c r="B659" s="1" t="n">
        <v>45601</v>
      </c>
      <c r="C659" s="1" t="n">
        <v>45824</v>
      </c>
      <c r="D659" t="inlineStr">
        <is>
          <t>NORRBOTTENS LÄN</t>
        </is>
      </c>
      <c r="E659" t="inlineStr">
        <is>
          <t>ÄLVSBYN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50989-2024</t>
        </is>
      </c>
      <c r="B660" s="1" t="n">
        <v>45603</v>
      </c>
      <c r="C660" s="1" t="n">
        <v>45824</v>
      </c>
      <c r="D660" t="inlineStr">
        <is>
          <t>NORRBOTTENS LÄN</t>
        </is>
      </c>
      <c r="E660" t="inlineStr">
        <is>
          <t>ÄLVSBYN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50970-2024</t>
        </is>
      </c>
      <c r="B661" s="1" t="n">
        <v>45603</v>
      </c>
      <c r="C661" s="1" t="n">
        <v>45824</v>
      </c>
      <c r="D661" t="inlineStr">
        <is>
          <t>NORRBOTTENS LÄN</t>
        </is>
      </c>
      <c r="E661" t="inlineStr">
        <is>
          <t>ÄLVSBYN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51051-2024</t>
        </is>
      </c>
      <c r="B662" s="1" t="n">
        <v>45603</v>
      </c>
      <c r="C662" s="1" t="n">
        <v>45824</v>
      </c>
      <c r="D662" t="inlineStr">
        <is>
          <t>NORRBOTTENS LÄN</t>
        </is>
      </c>
      <c r="E662" t="inlineStr">
        <is>
          <t>ÄLVSBYN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51975-2024</t>
        </is>
      </c>
      <c r="B663" s="1" t="n">
        <v>45607</v>
      </c>
      <c r="C663" s="1" t="n">
        <v>45824</v>
      </c>
      <c r="D663" t="inlineStr">
        <is>
          <t>NORRBOTTENS LÄN</t>
        </is>
      </c>
      <c r="E663" t="inlineStr">
        <is>
          <t>ÄLVSBYN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51684-2024</t>
        </is>
      </c>
      <c r="B664" s="1" t="n">
        <v>45607</v>
      </c>
      <c r="C664" s="1" t="n">
        <v>45824</v>
      </c>
      <c r="D664" t="inlineStr">
        <is>
          <t>NORRBOTTENS LÄN</t>
        </is>
      </c>
      <c r="E664" t="inlineStr">
        <is>
          <t>ÄLVSBYN</t>
        </is>
      </c>
      <c r="F664" t="inlineStr">
        <is>
          <t>Sveaskog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51808-2024</t>
        </is>
      </c>
      <c r="B665" s="1" t="n">
        <v>45607</v>
      </c>
      <c r="C665" s="1" t="n">
        <v>45824</v>
      </c>
      <c r="D665" t="inlineStr">
        <is>
          <t>NORRBOTTENS LÄN</t>
        </is>
      </c>
      <c r="E665" t="inlineStr">
        <is>
          <t>ÄLVSBYN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52907-2024</t>
        </is>
      </c>
      <c r="B666" s="1" t="n">
        <v>45610</v>
      </c>
      <c r="C666" s="1" t="n">
        <v>45824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54847-2024</t>
        </is>
      </c>
      <c r="B667" s="1" t="n">
        <v>45618</v>
      </c>
      <c r="C667" s="1" t="n">
        <v>45824</v>
      </c>
      <c r="D667" t="inlineStr">
        <is>
          <t>NORRBOTTENS LÄN</t>
        </is>
      </c>
      <c r="E667" t="inlineStr">
        <is>
          <t>ÄLVSBYN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54848-2024</t>
        </is>
      </c>
      <c r="B668" s="1" t="n">
        <v>45618</v>
      </c>
      <c r="C668" s="1" t="n">
        <v>45824</v>
      </c>
      <c r="D668" t="inlineStr">
        <is>
          <t>NORRBOTTENS LÄN</t>
        </is>
      </c>
      <c r="E668" t="inlineStr">
        <is>
          <t>ÄLVSBYN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55225-2024</t>
        </is>
      </c>
      <c r="B669" s="1" t="n">
        <v>45621</v>
      </c>
      <c r="C669" s="1" t="n">
        <v>45824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55078-2024</t>
        </is>
      </c>
      <c r="B670" s="1" t="n">
        <v>45621</v>
      </c>
      <c r="C670" s="1" t="n">
        <v>45824</v>
      </c>
      <c r="D670" t="inlineStr">
        <is>
          <t>NORRBOTTENS LÄN</t>
        </is>
      </c>
      <c r="E670" t="inlineStr">
        <is>
          <t>ÄLVSBYN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55181-2024</t>
        </is>
      </c>
      <c r="B671" s="1" t="n">
        <v>45621</v>
      </c>
      <c r="C671" s="1" t="n">
        <v>45824</v>
      </c>
      <c r="D671" t="inlineStr">
        <is>
          <t>NORRBOTTENS LÄN</t>
        </is>
      </c>
      <c r="E671" t="inlineStr">
        <is>
          <t>ÄLVSBYN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55552-2024</t>
        </is>
      </c>
      <c r="B672" s="1" t="n">
        <v>45622</v>
      </c>
      <c r="C672" s="1" t="n">
        <v>45824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55798-2024</t>
        </is>
      </c>
      <c r="B673" s="1" t="n">
        <v>45623</v>
      </c>
      <c r="C673" s="1" t="n">
        <v>45824</v>
      </c>
      <c r="D673" t="inlineStr">
        <is>
          <t>NORRBOTTENS LÄN</t>
        </is>
      </c>
      <c r="E673" t="inlineStr">
        <is>
          <t>ÄLVSBYN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55960-2024</t>
        </is>
      </c>
      <c r="B674" s="1" t="n">
        <v>45623</v>
      </c>
      <c r="C674" s="1" t="n">
        <v>45824</v>
      </c>
      <c r="D674" t="inlineStr">
        <is>
          <t>NORRBOTTENS LÄN</t>
        </is>
      </c>
      <c r="E674" t="inlineStr">
        <is>
          <t>ÄLVSBYN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56230-2024</t>
        </is>
      </c>
      <c r="B675" s="1" t="n">
        <v>45624</v>
      </c>
      <c r="C675" s="1" t="n">
        <v>45824</v>
      </c>
      <c r="D675" t="inlineStr">
        <is>
          <t>NORRBOTTENS LÄN</t>
        </is>
      </c>
      <c r="E675" t="inlineStr">
        <is>
          <t>ÄLVSBYN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56951-2024</t>
        </is>
      </c>
      <c r="B676" s="1" t="n">
        <v>45628</v>
      </c>
      <c r="C676" s="1" t="n">
        <v>45824</v>
      </c>
      <c r="D676" t="inlineStr">
        <is>
          <t>NORRBOTTENS LÄN</t>
        </is>
      </c>
      <c r="E676" t="inlineStr">
        <is>
          <t>ÄLVSBYN</t>
        </is>
      </c>
      <c r="F676" t="inlineStr">
        <is>
          <t>Övriga Aktiebolag</t>
        </is>
      </c>
      <c r="G676" t="n">
        <v>23.8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57138-2024</t>
        </is>
      </c>
      <c r="B677" s="1" t="n">
        <v>45629</v>
      </c>
      <c r="C677" s="1" t="n">
        <v>45824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57139-2024</t>
        </is>
      </c>
      <c r="B678" s="1" t="n">
        <v>45629</v>
      </c>
      <c r="C678" s="1" t="n">
        <v>45824</v>
      </c>
      <c r="D678" t="inlineStr">
        <is>
          <t>NORRBOTTENS LÄN</t>
        </is>
      </c>
      <c r="E678" t="inlineStr">
        <is>
          <t>ÄLVSBYN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58007-2024</t>
        </is>
      </c>
      <c r="B679" s="1" t="n">
        <v>45631</v>
      </c>
      <c r="C679" s="1" t="n">
        <v>45824</v>
      </c>
      <c r="D679" t="inlineStr">
        <is>
          <t>NORRBOTTENS LÄN</t>
        </is>
      </c>
      <c r="E679" t="inlineStr">
        <is>
          <t>ÄLVSBYN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58317-2024</t>
        </is>
      </c>
      <c r="B680" s="1" t="n">
        <v>45632</v>
      </c>
      <c r="C680" s="1" t="n">
        <v>45824</v>
      </c>
      <c r="D680" t="inlineStr">
        <is>
          <t>NORRBOTTENS LÄN</t>
        </is>
      </c>
      <c r="E680" t="inlineStr">
        <is>
          <t>ÄLVSBYN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58243-2024</t>
        </is>
      </c>
      <c r="B681" s="1" t="n">
        <v>45632</v>
      </c>
      <c r="C681" s="1" t="n">
        <v>45824</v>
      </c>
      <c r="D681" t="inlineStr">
        <is>
          <t>NORRBOTTENS LÄN</t>
        </is>
      </c>
      <c r="E681" t="inlineStr">
        <is>
          <t>ÄLVSBYN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58248-2024</t>
        </is>
      </c>
      <c r="B682" s="1" t="n">
        <v>45632</v>
      </c>
      <c r="C682" s="1" t="n">
        <v>45824</v>
      </c>
      <c r="D682" t="inlineStr">
        <is>
          <t>NORRBOTTENS LÄN</t>
        </is>
      </c>
      <c r="E682" t="inlineStr">
        <is>
          <t>ÄLVSBYN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58253-2024</t>
        </is>
      </c>
      <c r="B683" s="1" t="n">
        <v>45632</v>
      </c>
      <c r="C683" s="1" t="n">
        <v>45824</v>
      </c>
      <c r="D683" t="inlineStr">
        <is>
          <t>NORRBOTTENS LÄN</t>
        </is>
      </c>
      <c r="E683" t="inlineStr">
        <is>
          <t>ÄLVSBYN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58308-2024</t>
        </is>
      </c>
      <c r="B684" s="1" t="n">
        <v>45632</v>
      </c>
      <c r="C684" s="1" t="n">
        <v>45824</v>
      </c>
      <c r="D684" t="inlineStr">
        <is>
          <t>NORRBOTTENS LÄN</t>
        </is>
      </c>
      <c r="E684" t="inlineStr">
        <is>
          <t>ÄLVSBYN</t>
        </is>
      </c>
      <c r="G684" t="n">
        <v>23.4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58263-2024</t>
        </is>
      </c>
      <c r="B685" s="1" t="n">
        <v>45632</v>
      </c>
      <c r="C685" s="1" t="n">
        <v>45824</v>
      </c>
      <c r="D685" t="inlineStr">
        <is>
          <t>NORRBOTTENS LÄN</t>
        </is>
      </c>
      <c r="E685" t="inlineStr">
        <is>
          <t>ÄLVSBYN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58315-2024</t>
        </is>
      </c>
      <c r="B686" s="1" t="n">
        <v>45632</v>
      </c>
      <c r="C686" s="1" t="n">
        <v>45824</v>
      </c>
      <c r="D686" t="inlineStr">
        <is>
          <t>NORRBOTTENS LÄN</t>
        </is>
      </c>
      <c r="E686" t="inlineStr">
        <is>
          <t>ÄLVSBYN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58321-2024</t>
        </is>
      </c>
      <c r="B687" s="1" t="n">
        <v>45632</v>
      </c>
      <c r="C687" s="1" t="n">
        <v>45824</v>
      </c>
      <c r="D687" t="inlineStr">
        <is>
          <t>NORRBOTTENS LÄN</t>
        </is>
      </c>
      <c r="E687" t="inlineStr">
        <is>
          <t>ÄLVSBYN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58266-2024</t>
        </is>
      </c>
      <c r="B688" s="1" t="n">
        <v>45632</v>
      </c>
      <c r="C688" s="1" t="n">
        <v>45824</v>
      </c>
      <c r="D688" t="inlineStr">
        <is>
          <t>NORRBOTTENS LÄN</t>
        </is>
      </c>
      <c r="E688" t="inlineStr">
        <is>
          <t>ÄLVSBYN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58309-2024</t>
        </is>
      </c>
      <c r="B689" s="1" t="n">
        <v>45632</v>
      </c>
      <c r="C689" s="1" t="n">
        <v>45824</v>
      </c>
      <c r="D689" t="inlineStr">
        <is>
          <t>NORRBOTTENS LÄN</t>
        </is>
      </c>
      <c r="E689" t="inlineStr">
        <is>
          <t>ÄLVSBYN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58438-2024</t>
        </is>
      </c>
      <c r="B690" s="1" t="n">
        <v>45635</v>
      </c>
      <c r="C690" s="1" t="n">
        <v>45824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59181-2024</t>
        </is>
      </c>
      <c r="B691" s="1" t="n">
        <v>45637</v>
      </c>
      <c r="C691" s="1" t="n">
        <v>45824</v>
      </c>
      <c r="D691" t="inlineStr">
        <is>
          <t>NORRBOTTENS LÄN</t>
        </is>
      </c>
      <c r="E691" t="inlineStr">
        <is>
          <t>ÄLVSBYN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59180-2024</t>
        </is>
      </c>
      <c r="B692" s="1" t="n">
        <v>45637</v>
      </c>
      <c r="C692" s="1" t="n">
        <v>45824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59826-2024</t>
        </is>
      </c>
      <c r="B693" s="1" t="n">
        <v>45639</v>
      </c>
      <c r="C693" s="1" t="n">
        <v>45824</v>
      </c>
      <c r="D693" t="inlineStr">
        <is>
          <t>NORRBOTTENS LÄN</t>
        </is>
      </c>
      <c r="E693" t="inlineStr">
        <is>
          <t>ÄLVSBYN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59950-2024</t>
        </is>
      </c>
      <c r="B694" s="1" t="n">
        <v>45642</v>
      </c>
      <c r="C694" s="1" t="n">
        <v>45824</v>
      </c>
      <c r="D694" t="inlineStr">
        <is>
          <t>NORRBOTTENS LÄN</t>
        </is>
      </c>
      <c r="E694" t="inlineStr">
        <is>
          <t>ÄLVSBYN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60773-2024</t>
        </is>
      </c>
      <c r="B695" s="1" t="n">
        <v>45644</v>
      </c>
      <c r="C695" s="1" t="n">
        <v>45824</v>
      </c>
      <c r="D695" t="inlineStr">
        <is>
          <t>NORRBOTTENS LÄN</t>
        </is>
      </c>
      <c r="E695" t="inlineStr">
        <is>
          <t>ÄLVSBYN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60726-2024</t>
        </is>
      </c>
      <c r="B696" s="1" t="n">
        <v>45644</v>
      </c>
      <c r="C696" s="1" t="n">
        <v>45824</v>
      </c>
      <c r="D696" t="inlineStr">
        <is>
          <t>NORRBOTTENS LÄN</t>
        </is>
      </c>
      <c r="E696" t="inlineStr">
        <is>
          <t>ÄLVSBYN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60785-2024</t>
        </is>
      </c>
      <c r="B697" s="1" t="n">
        <v>45644</v>
      </c>
      <c r="C697" s="1" t="n">
        <v>45824</v>
      </c>
      <c r="D697" t="inlineStr">
        <is>
          <t>NORRBOTTENS LÄN</t>
        </is>
      </c>
      <c r="E697" t="inlineStr">
        <is>
          <t>ÄLVSBYN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61619-2024</t>
        </is>
      </c>
      <c r="B698" s="1" t="n">
        <v>45646</v>
      </c>
      <c r="C698" s="1" t="n">
        <v>45824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1554-2025</t>
        </is>
      </c>
      <c r="B699" s="1" t="n">
        <v>45670</v>
      </c>
      <c r="C699" s="1" t="n">
        <v>45824</v>
      </c>
      <c r="D699" t="inlineStr">
        <is>
          <t>NORRBOTTENS LÄN</t>
        </is>
      </c>
      <c r="E699" t="inlineStr">
        <is>
          <t>ÄLVSBYN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3038-2025</t>
        </is>
      </c>
      <c r="B700" s="1" t="n">
        <v>45678</v>
      </c>
      <c r="C700" s="1" t="n">
        <v>45824</v>
      </c>
      <c r="D700" t="inlineStr">
        <is>
          <t>NORRBOTTENS LÄN</t>
        </is>
      </c>
      <c r="E700" t="inlineStr">
        <is>
          <t>ÄLVSBYN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3168-2025</t>
        </is>
      </c>
      <c r="B701" s="1" t="n">
        <v>45679</v>
      </c>
      <c r="C701" s="1" t="n">
        <v>45824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3445-2025</t>
        </is>
      </c>
      <c r="B702" s="1" t="n">
        <v>45680</v>
      </c>
      <c r="C702" s="1" t="n">
        <v>45824</v>
      </c>
      <c r="D702" t="inlineStr">
        <is>
          <t>NORRBOTTENS LÄN</t>
        </is>
      </c>
      <c r="E702" t="inlineStr">
        <is>
          <t>ÄLVSBYN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4929-2025</t>
        </is>
      </c>
      <c r="B703" s="1" t="n">
        <v>45688</v>
      </c>
      <c r="C703" s="1" t="n">
        <v>45824</v>
      </c>
      <c r="D703" t="inlineStr">
        <is>
          <t>NORRBOTTENS LÄN</t>
        </is>
      </c>
      <c r="E703" t="inlineStr">
        <is>
          <t>ÄLVSBYN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4928-2025</t>
        </is>
      </c>
      <c r="B704" s="1" t="n">
        <v>45688</v>
      </c>
      <c r="C704" s="1" t="n">
        <v>45824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5069-2025</t>
        </is>
      </c>
      <c r="B705" s="1" t="n">
        <v>45691</v>
      </c>
      <c r="C705" s="1" t="n">
        <v>45824</v>
      </c>
      <c r="D705" t="inlineStr">
        <is>
          <t>NORRBOTTENS LÄN</t>
        </is>
      </c>
      <c r="E705" t="inlineStr">
        <is>
          <t>ÄLVSBYN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5062-2025</t>
        </is>
      </c>
      <c r="B706" s="1" t="n">
        <v>45691</v>
      </c>
      <c r="C706" s="1" t="n">
        <v>45824</v>
      </c>
      <c r="D706" t="inlineStr">
        <is>
          <t>NORRBOTTENS LÄN</t>
        </is>
      </c>
      <c r="E706" t="inlineStr">
        <is>
          <t>ÄLVSBYN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8334-2025</t>
        </is>
      </c>
      <c r="B707" s="1" t="n">
        <v>45708</v>
      </c>
      <c r="C707" s="1" t="n">
        <v>45824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8382-2025</t>
        </is>
      </c>
      <c r="B708" s="1" t="n">
        <v>45709</v>
      </c>
      <c r="C708" s="1" t="n">
        <v>45824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8550-2025</t>
        </is>
      </c>
      <c r="B709" s="1" t="n">
        <v>45709</v>
      </c>
      <c r="C709" s="1" t="n">
        <v>45824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8554-2025</t>
        </is>
      </c>
      <c r="B710" s="1" t="n">
        <v>45709</v>
      </c>
      <c r="C710" s="1" t="n">
        <v>45824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8549-2025</t>
        </is>
      </c>
      <c r="B711" s="1" t="n">
        <v>45709</v>
      </c>
      <c r="C711" s="1" t="n">
        <v>45824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8553-2025</t>
        </is>
      </c>
      <c r="B712" s="1" t="n">
        <v>45709</v>
      </c>
      <c r="C712" s="1" t="n">
        <v>45824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8552-2025</t>
        </is>
      </c>
      <c r="B713" s="1" t="n">
        <v>45709</v>
      </c>
      <c r="C713" s="1" t="n">
        <v>45824</v>
      </c>
      <c r="D713" t="inlineStr">
        <is>
          <t>NORRBOTTENS LÄN</t>
        </is>
      </c>
      <c r="E713" t="inlineStr">
        <is>
          <t>ÄLVSBYN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8551-2025</t>
        </is>
      </c>
      <c r="B714" s="1" t="n">
        <v>45709</v>
      </c>
      <c r="C714" s="1" t="n">
        <v>45824</v>
      </c>
      <c r="D714" t="inlineStr">
        <is>
          <t>NORRBOTTENS LÄN</t>
        </is>
      </c>
      <c r="E714" t="inlineStr">
        <is>
          <t>ÄLVSBYN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8741-2025</t>
        </is>
      </c>
      <c r="B715" s="1" t="n">
        <v>45712</v>
      </c>
      <c r="C715" s="1" t="n">
        <v>45824</v>
      </c>
      <c r="D715" t="inlineStr">
        <is>
          <t>NORRBOTTENS LÄN</t>
        </is>
      </c>
      <c r="E715" t="inlineStr">
        <is>
          <t>ÄLVSBYN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8742-2025</t>
        </is>
      </c>
      <c r="B716" s="1" t="n">
        <v>45712</v>
      </c>
      <c r="C716" s="1" t="n">
        <v>45824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8740-2025</t>
        </is>
      </c>
      <c r="B717" s="1" t="n">
        <v>45712</v>
      </c>
      <c r="C717" s="1" t="n">
        <v>45824</v>
      </c>
      <c r="D717" t="inlineStr">
        <is>
          <t>NORRBOTTENS LÄN</t>
        </is>
      </c>
      <c r="E717" t="inlineStr">
        <is>
          <t>ÄLVSBYN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9886-2025</t>
        </is>
      </c>
      <c r="B718" s="1" t="n">
        <v>45716</v>
      </c>
      <c r="C718" s="1" t="n">
        <v>45824</v>
      </c>
      <c r="D718" t="inlineStr">
        <is>
          <t>NORRBOTTENS LÄN</t>
        </is>
      </c>
      <c r="E718" t="inlineStr">
        <is>
          <t>ÄLVSBYN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10269-2025</t>
        </is>
      </c>
      <c r="B719" s="1" t="n">
        <v>45720</v>
      </c>
      <c r="C719" s="1" t="n">
        <v>45824</v>
      </c>
      <c r="D719" t="inlineStr">
        <is>
          <t>NORRBOTTENS LÄN</t>
        </is>
      </c>
      <c r="E719" t="inlineStr">
        <is>
          <t>ÄLVSBYN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12613-2025</t>
        </is>
      </c>
      <c r="B720" s="1" t="n">
        <v>45733</v>
      </c>
      <c r="C720" s="1" t="n">
        <v>45824</v>
      </c>
      <c r="D720" t="inlineStr">
        <is>
          <t>NORRBOTTENS LÄN</t>
        </is>
      </c>
      <c r="E720" t="inlineStr">
        <is>
          <t>ÄLVSBYN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13368-2025</t>
        </is>
      </c>
      <c r="B721" s="1" t="n">
        <v>45735</v>
      </c>
      <c r="C721" s="1" t="n">
        <v>45824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13329-2025</t>
        </is>
      </c>
      <c r="B722" s="1" t="n">
        <v>45735</v>
      </c>
      <c r="C722" s="1" t="n">
        <v>45824</v>
      </c>
      <c r="D722" t="inlineStr">
        <is>
          <t>NORRBOTTENS LÄN</t>
        </is>
      </c>
      <c r="E722" t="inlineStr">
        <is>
          <t>ÄLVSBYN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14449-2025</t>
        </is>
      </c>
      <c r="B723" s="1" t="n">
        <v>45741</v>
      </c>
      <c r="C723" s="1" t="n">
        <v>45824</v>
      </c>
      <c r="D723" t="inlineStr">
        <is>
          <t>NORRBOTTENS LÄN</t>
        </is>
      </c>
      <c r="E723" t="inlineStr">
        <is>
          <t>ÄLVSBYN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15180-2025</t>
        </is>
      </c>
      <c r="B724" s="1" t="n">
        <v>45744</v>
      </c>
      <c r="C724" s="1" t="n">
        <v>45824</v>
      </c>
      <c r="D724" t="inlineStr">
        <is>
          <t>NORRBOTTENS LÄN</t>
        </is>
      </c>
      <c r="E724" t="inlineStr">
        <is>
          <t>ÄLVSBYN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15389-2025</t>
        </is>
      </c>
      <c r="B725" s="1" t="n">
        <v>45747</v>
      </c>
      <c r="C725" s="1" t="n">
        <v>45824</v>
      </c>
      <c r="D725" t="inlineStr">
        <is>
          <t>NORRBOTTENS LÄN</t>
        </is>
      </c>
      <c r="E725" t="inlineStr">
        <is>
          <t>ÄLVSBYN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15628-2025</t>
        </is>
      </c>
      <c r="B726" s="1" t="n">
        <v>45748</v>
      </c>
      <c r="C726" s="1" t="n">
        <v>45824</v>
      </c>
      <c r="D726" t="inlineStr">
        <is>
          <t>NORRBOTTENS LÄN</t>
        </is>
      </c>
      <c r="E726" t="inlineStr">
        <is>
          <t>ÄLVSBYN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16473-2025</t>
        </is>
      </c>
      <c r="B727" s="1" t="n">
        <v>45751</v>
      </c>
      <c r="C727" s="1" t="n">
        <v>45824</v>
      </c>
      <c r="D727" t="inlineStr">
        <is>
          <t>NORRBOTTENS LÄN</t>
        </is>
      </c>
      <c r="E727" t="inlineStr">
        <is>
          <t>ÄLVSBYN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18093-2025</t>
        </is>
      </c>
      <c r="B728" s="1" t="n">
        <v>45761</v>
      </c>
      <c r="C728" s="1" t="n">
        <v>45824</v>
      </c>
      <c r="D728" t="inlineStr">
        <is>
          <t>NORRBOTTENS LÄN</t>
        </is>
      </c>
      <c r="E728" t="inlineStr">
        <is>
          <t>ÄLVSBYN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18090-2025</t>
        </is>
      </c>
      <c r="B729" s="1" t="n">
        <v>45761</v>
      </c>
      <c r="C729" s="1" t="n">
        <v>45824</v>
      </c>
      <c r="D729" t="inlineStr">
        <is>
          <t>NORRBOTTENS LÄN</t>
        </is>
      </c>
      <c r="E729" t="inlineStr">
        <is>
          <t>ÄLVSBYN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18958-2025</t>
        </is>
      </c>
      <c r="B730" s="1" t="n">
        <v>45764</v>
      </c>
      <c r="C730" s="1" t="n">
        <v>45824</v>
      </c>
      <c r="D730" t="inlineStr">
        <is>
          <t>NORRBOTTENS LÄN</t>
        </is>
      </c>
      <c r="E730" t="inlineStr">
        <is>
          <t>ÄLVSBYN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19562-2025</t>
        </is>
      </c>
      <c r="B731" s="1" t="n">
        <v>45770</v>
      </c>
      <c r="C731" s="1" t="n">
        <v>45824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19563-2025</t>
        </is>
      </c>
      <c r="B732" s="1" t="n">
        <v>45770</v>
      </c>
      <c r="C732" s="1" t="n">
        <v>45824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45824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45824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45824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45824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45824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20158-2025</t>
        </is>
      </c>
      <c r="B738" s="1" t="n">
        <v>45772</v>
      </c>
      <c r="C738" s="1" t="n">
        <v>45824</v>
      </c>
      <c r="D738" t="inlineStr">
        <is>
          <t>NORRBOTTENS LÄN</t>
        </is>
      </c>
      <c r="E738" t="inlineStr">
        <is>
          <t>ÄLVSBYN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20753-2025</t>
        </is>
      </c>
      <c r="B739" s="1" t="n">
        <v>45776</v>
      </c>
      <c r="C739" s="1" t="n">
        <v>45824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20879-2025</t>
        </is>
      </c>
      <c r="B740" s="1" t="n">
        <v>45777</v>
      </c>
      <c r="C740" s="1" t="n">
        <v>45824</v>
      </c>
      <c r="D740" t="inlineStr">
        <is>
          <t>NORRBOTTENS LÄN</t>
        </is>
      </c>
      <c r="E740" t="inlineStr">
        <is>
          <t>ÄLVSBYN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21990-2025</t>
        </is>
      </c>
      <c r="B741" s="1" t="n">
        <v>45784</v>
      </c>
      <c r="C741" s="1" t="n">
        <v>45824</v>
      </c>
      <c r="D741" t="inlineStr">
        <is>
          <t>NORRBOTTENS LÄN</t>
        </is>
      </c>
      <c r="E741" t="inlineStr">
        <is>
          <t>ÄLVSBYN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23354-2025</t>
        </is>
      </c>
      <c r="B742" s="1" t="n">
        <v>45791</v>
      </c>
      <c r="C742" s="1" t="n">
        <v>45824</v>
      </c>
      <c r="D742" t="inlineStr">
        <is>
          <t>NORRBOTTENS LÄN</t>
        </is>
      </c>
      <c r="E742" t="inlineStr">
        <is>
          <t>ÄLVSBYN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45824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45824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45824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45824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45824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23790-2025</t>
        </is>
      </c>
      <c r="B748" s="1" t="n">
        <v>45793</v>
      </c>
      <c r="C748" s="1" t="n">
        <v>45824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45824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45824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45824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45824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45824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45824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26083-2025</t>
        </is>
      </c>
      <c r="B755" s="1" t="n">
        <v>45805</v>
      </c>
      <c r="C755" s="1" t="n">
        <v>45824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45824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45824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45824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27280-2025</t>
        </is>
      </c>
      <c r="B759" s="1" t="n">
        <v>45812</v>
      </c>
      <c r="C759" s="1" t="n">
        <v>45824</v>
      </c>
      <c r="D759" t="inlineStr">
        <is>
          <t>NORRBOTTENS LÄN</t>
        </is>
      </c>
      <c r="E759" t="inlineStr">
        <is>
          <t>ÄLVSBYN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28555-2025</t>
        </is>
      </c>
      <c r="B760" s="1" t="n">
        <v>45819</v>
      </c>
      <c r="C760" s="1" t="n">
        <v>45824</v>
      </c>
      <c r="D760" t="inlineStr">
        <is>
          <t>NORRBOTTENS LÄN</t>
        </is>
      </c>
      <c r="E760" t="inlineStr">
        <is>
          <t>ÄLVSBYN</t>
        </is>
      </c>
      <c r="F760" t="inlineStr">
        <is>
          <t>Sveaskog</t>
        </is>
      </c>
      <c r="G760" t="n">
        <v>40.5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28582-2025</t>
        </is>
      </c>
      <c r="B761" s="1" t="n">
        <v>45819</v>
      </c>
      <c r="C761" s="1" t="n">
        <v>45824</v>
      </c>
      <c r="D761" t="inlineStr">
        <is>
          <t>NORRBOTTENS LÄN</t>
        </is>
      </c>
      <c r="E761" t="inlineStr">
        <is>
          <t>ÄLVSBYN</t>
        </is>
      </c>
      <c r="F761" t="inlineStr">
        <is>
          <t>Sveaskog</t>
        </is>
      </c>
      <c r="G761" t="n">
        <v>26.1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29022-2025</t>
        </is>
      </c>
      <c r="B762" s="1" t="n">
        <v>45821</v>
      </c>
      <c r="C762" s="1" t="n">
        <v>45824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2025-06-16T18:51:50Z</dcterms:created>
  <dcterms:modified xmlns:dcterms="http://purl.org/dc/terms/" xmlns:xsi="http://www.w3.org/2001/XMLSchema-instance" xsi:type="dcterms:W3CDTF">2025-06-16T18:51:51Z</dcterms:modified>
</cp:coreProperties>
</file>