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45505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61009-2021</t>
        </is>
      </c>
      <c r="B3" s="1" t="n">
        <v>44497</v>
      </c>
      <c r="C3" s="1" t="n">
        <v>45505</v>
      </c>
      <c r="D3" t="inlineStr">
        <is>
          <t>NORRBOTTENS LÄN</t>
        </is>
      </c>
      <c r="E3" t="inlineStr">
        <is>
          <t>ÄLVSBYN</t>
        </is>
      </c>
      <c r="G3" t="n">
        <v>16.2</v>
      </c>
      <c r="H3" t="n">
        <v>5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Garnlav
Kungsörn
Motaggsvamp
Skrovlig flatbagge
Vedflamlav
Violettgrå tagellav
Vitplätt
Bronshjon
Luddlav
Nästlav
Tjäder
Brudsporre
Fläcknycklar
Nattviol</t>
        </is>
      </c>
      <c r="S3">
        <f>HYPERLINK("https://klasma.github.io/Logging_2560/artfynd/A 61009-2021 artfynd.xlsx", "A 61009-2021")</f>
        <v/>
      </c>
      <c r="T3">
        <f>HYPERLINK("https://klasma.github.io/Logging_2560/kartor/A 61009-2021 karta.png", "A 61009-2021")</f>
        <v/>
      </c>
      <c r="U3">
        <f>HYPERLINK("https://klasma.github.io/Logging_2560/knärot/A 61009-2021 karta knärot.png", "A 61009-2021")</f>
        <v/>
      </c>
      <c r="V3">
        <f>HYPERLINK("https://klasma.github.io/Logging_2560/klagomål/A 61009-2021 FSC-klagomål.docx", "A 61009-2021")</f>
        <v/>
      </c>
      <c r="W3">
        <f>HYPERLINK("https://klasma.github.io/Logging_2560/klagomålsmail/A 61009-2021 FSC-klagomål mail.docx", "A 61009-2021")</f>
        <v/>
      </c>
      <c r="X3">
        <f>HYPERLINK("https://klasma.github.io/Logging_2560/tillsyn/A 61009-2021 tillsynsbegäran.docx", "A 61009-2021")</f>
        <v/>
      </c>
      <c r="Y3">
        <f>HYPERLINK("https://klasma.github.io/Logging_2560/tillsynsmail/A 61009-2021 tillsynsbegäran mail.docx", "A 61009-2021")</f>
        <v/>
      </c>
      <c r="Z3">
        <f>HYPERLINK("https://klasma.github.io/Logging_2560/fåglar/A 61009-2021 prioriterade fågelarter.docx", "A 61009-2021")</f>
        <v/>
      </c>
    </row>
    <row r="4" ht="15" customHeight="1">
      <c r="A4" t="inlineStr">
        <is>
          <t>A 26733-2024</t>
        </is>
      </c>
      <c r="B4" s="1" t="n">
        <v>45470</v>
      </c>
      <c r="C4" s="1" t="n">
        <v>45505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7.5</v>
      </c>
      <c r="H4" t="n">
        <v>1</v>
      </c>
      <c r="I4" t="n">
        <v>2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13</v>
      </c>
      <c r="R4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4">
        <f>HYPERLINK("https://klasma.github.io/Logging_2560/artfynd/A 26733-2024 artfynd.xlsx", "A 26733-2024")</f>
        <v/>
      </c>
      <c r="T4">
        <f>HYPERLINK("https://klasma.github.io/Logging_2560/kartor/A 26733-2024 karta.png", "A 26733-2024")</f>
        <v/>
      </c>
      <c r="V4">
        <f>HYPERLINK("https://klasma.github.io/Logging_2560/klagomål/A 26733-2024 FSC-klagomål.docx", "A 26733-2024")</f>
        <v/>
      </c>
      <c r="W4">
        <f>HYPERLINK("https://klasma.github.io/Logging_2560/klagomålsmail/A 26733-2024 FSC-klagomål mail.docx", "A 26733-2024")</f>
        <v/>
      </c>
      <c r="X4">
        <f>HYPERLINK("https://klasma.github.io/Logging_2560/tillsyn/A 26733-2024 tillsynsbegäran.docx", "A 26733-2024")</f>
        <v/>
      </c>
      <c r="Y4">
        <f>HYPERLINK("https://klasma.github.io/Logging_2560/tillsynsmail/A 26733-2024 tillsynsbegäran mail.docx", "A 26733-2024")</f>
        <v/>
      </c>
      <c r="Z4">
        <f>HYPERLINK("https://klasma.github.io/Logging_2560/fåglar/A 26733-2024 prioriterade fågelarter.docx", "A 26733-2024")</f>
        <v/>
      </c>
    </row>
    <row r="5" ht="15" customHeight="1">
      <c r="A5" t="inlineStr">
        <is>
          <t>A 52981-2023</t>
        </is>
      </c>
      <c r="B5" s="1" t="n">
        <v>45226</v>
      </c>
      <c r="C5" s="1" t="n">
        <v>45505</v>
      </c>
      <c r="D5" t="inlineStr">
        <is>
          <t>NORRBOTTENS LÄN</t>
        </is>
      </c>
      <c r="E5" t="inlineStr">
        <is>
          <t>ÄLVSBYN</t>
        </is>
      </c>
      <c r="G5" t="n">
        <v>34.4</v>
      </c>
      <c r="H5" t="n">
        <v>2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Lappticka
Rynkskinn
Garnlav
Granticka
Lunglav
Rosenticka
Spillkråka
Tretåig hackspett
Ullticka
Skinnlav
Stuplav</t>
        </is>
      </c>
      <c r="S5">
        <f>HYPERLINK("https://klasma.github.io/Logging_2560/artfynd/A 52981-2023 artfynd.xlsx", "A 52981-2023")</f>
        <v/>
      </c>
      <c r="T5">
        <f>HYPERLINK("https://klasma.github.io/Logging_2560/kartor/A 52981-2023 karta.png", "A 52981-2023")</f>
        <v/>
      </c>
      <c r="V5">
        <f>HYPERLINK("https://klasma.github.io/Logging_2560/klagomål/A 52981-2023 FSC-klagomål.docx", "A 52981-2023")</f>
        <v/>
      </c>
      <c r="W5">
        <f>HYPERLINK("https://klasma.github.io/Logging_2560/klagomålsmail/A 52981-2023 FSC-klagomål mail.docx", "A 52981-2023")</f>
        <v/>
      </c>
      <c r="X5">
        <f>HYPERLINK("https://klasma.github.io/Logging_2560/tillsyn/A 52981-2023 tillsynsbegäran.docx", "A 52981-2023")</f>
        <v/>
      </c>
      <c r="Y5">
        <f>HYPERLINK("https://klasma.github.io/Logging_2560/tillsynsmail/A 52981-2023 tillsynsbegäran mail.docx", "A 52981-2023")</f>
        <v/>
      </c>
      <c r="Z5">
        <f>HYPERLINK("https://klasma.github.io/Logging_2560/fåglar/A 52981-2023 prioriterade fågelarter.docx", "A 52981-2023")</f>
        <v/>
      </c>
    </row>
    <row r="6" ht="15" customHeight="1">
      <c r="A6" t="inlineStr">
        <is>
          <t>A 59591-2023</t>
        </is>
      </c>
      <c r="B6" s="1" t="n">
        <v>45254</v>
      </c>
      <c r="C6" s="1" t="n">
        <v>45505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17.4</v>
      </c>
      <c r="H6" t="n">
        <v>0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11</v>
      </c>
      <c r="R6" s="2" t="inlineStr">
        <is>
          <t>Goliatmusseron
Rotfingersvamp
Tallgråticka
Blå taggsvamp
Orange taggsvamp
Skrovlig taggsvamp
Svart taggsvamp
Tallriska
Talltaggsvamp
Dropptaggsvamp
Skarp dropptaggsvamp</t>
        </is>
      </c>
      <c r="S6">
        <f>HYPERLINK("https://klasma.github.io/Logging_2560/artfynd/A 59591-2023 artfynd.xlsx", "A 59591-2023")</f>
        <v/>
      </c>
      <c r="T6">
        <f>HYPERLINK("https://klasma.github.io/Logging_2560/kartor/A 59591-2023 karta.png", "A 59591-2023")</f>
        <v/>
      </c>
      <c r="V6">
        <f>HYPERLINK("https://klasma.github.io/Logging_2560/klagomål/A 59591-2023 FSC-klagomål.docx", "A 59591-2023")</f>
        <v/>
      </c>
      <c r="W6">
        <f>HYPERLINK("https://klasma.github.io/Logging_2560/klagomålsmail/A 59591-2023 FSC-klagomål mail.docx", "A 59591-2023")</f>
        <v/>
      </c>
      <c r="X6">
        <f>HYPERLINK("https://klasma.github.io/Logging_2560/tillsyn/A 59591-2023 tillsynsbegäran.docx", "A 59591-2023")</f>
        <v/>
      </c>
      <c r="Y6">
        <f>HYPERLINK("https://klasma.github.io/Logging_2560/tillsynsmail/A 59591-2023 tillsynsbegäran mail.docx", "A 59591-2023")</f>
        <v/>
      </c>
    </row>
    <row r="7" ht="15" customHeight="1">
      <c r="A7" t="inlineStr">
        <is>
          <t>A 59589-2023</t>
        </is>
      </c>
      <c r="B7" s="1" t="n">
        <v>45254</v>
      </c>
      <c r="C7" s="1" t="n">
        <v>45505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1.8</v>
      </c>
      <c r="H7" t="n">
        <v>0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Goliatmusseron
Tallgråticka
Blå taggsvamp
Orange taggsvamp
Skrovlig taggsvamp
Svart taggsvamp
Svartvit taggsvamp
Tallriska
Talltaggsvamp
Dropptaggsvamp
Skarp dropptaggsvamp</t>
        </is>
      </c>
      <c r="S7">
        <f>HYPERLINK("https://klasma.github.io/Logging_2560/artfynd/A 59589-2023 artfynd.xlsx", "A 59589-2023")</f>
        <v/>
      </c>
      <c r="T7">
        <f>HYPERLINK("https://klasma.github.io/Logging_2560/kartor/A 59589-2023 karta.png", "A 59589-2023")</f>
        <v/>
      </c>
      <c r="V7">
        <f>HYPERLINK("https://klasma.github.io/Logging_2560/klagomål/A 59589-2023 FSC-klagomål.docx", "A 59589-2023")</f>
        <v/>
      </c>
      <c r="W7">
        <f>HYPERLINK("https://klasma.github.io/Logging_2560/klagomålsmail/A 59589-2023 FSC-klagomål mail.docx", "A 59589-2023")</f>
        <v/>
      </c>
      <c r="X7">
        <f>HYPERLINK("https://klasma.github.io/Logging_2560/tillsyn/A 59589-2023 tillsynsbegäran.docx", "A 59589-2023")</f>
        <v/>
      </c>
      <c r="Y7">
        <f>HYPERLINK("https://klasma.github.io/Logging_2560/tillsynsmail/A 59589-2023 tillsynsbegäran mail.docx", "A 59589-2023")</f>
        <v/>
      </c>
    </row>
    <row r="8" ht="15" customHeight="1">
      <c r="A8" t="inlineStr">
        <is>
          <t>A 26731-2024</t>
        </is>
      </c>
      <c r="B8" s="1" t="n">
        <v>45470</v>
      </c>
      <c r="C8" s="1" t="n">
        <v>45505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1.4</v>
      </c>
      <c r="H8" t="n">
        <v>0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Lakritsmusseron
Tajgataggsvamp
Orange taggsvamp
Svartvit taggsvamp
Tallriska
Dropptaggsvamp
Skarp dropptaggsvamp</t>
        </is>
      </c>
      <c r="S8">
        <f>HYPERLINK("https://klasma.github.io/Logging_2560/artfynd/A 26731-2024 artfynd.xlsx", "A 26731-2024")</f>
        <v/>
      </c>
      <c r="T8">
        <f>HYPERLINK("https://klasma.github.io/Logging_2560/kartor/A 26731-2024 karta.png", "A 26731-2024")</f>
        <v/>
      </c>
      <c r="V8">
        <f>HYPERLINK("https://klasma.github.io/Logging_2560/klagomål/A 26731-2024 FSC-klagomål.docx", "A 26731-2024")</f>
        <v/>
      </c>
      <c r="W8">
        <f>HYPERLINK("https://klasma.github.io/Logging_2560/klagomålsmail/A 26731-2024 FSC-klagomål mail.docx", "A 26731-2024")</f>
        <v/>
      </c>
      <c r="X8">
        <f>HYPERLINK("https://klasma.github.io/Logging_2560/tillsyn/A 26731-2024 tillsynsbegäran.docx", "A 26731-2024")</f>
        <v/>
      </c>
      <c r="Y8">
        <f>HYPERLINK("https://klasma.github.io/Logging_2560/tillsynsmail/A 26731-2024 tillsynsbegäran mail.docx", "A 26731-2024")</f>
        <v/>
      </c>
    </row>
    <row r="9" ht="15" customHeight="1">
      <c r="A9" t="inlineStr">
        <is>
          <t>A 586-2024</t>
        </is>
      </c>
      <c r="B9" s="1" t="n">
        <v>45299</v>
      </c>
      <c r="C9" s="1" t="n">
        <v>45505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19.5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Goliatmusseron
Blå taggsvamp
Motaggsvamp
Orange taggsvamp
Svart taggsvamp
Skarp dropptaggsvamp</t>
        </is>
      </c>
      <c r="S9">
        <f>HYPERLINK("https://klasma.github.io/Logging_2560/artfynd/A 586-2024 artfynd.xlsx", "A 586-2024")</f>
        <v/>
      </c>
      <c r="T9">
        <f>HYPERLINK("https://klasma.github.io/Logging_2560/kartor/A 586-2024 karta.png", "A 586-2024")</f>
        <v/>
      </c>
      <c r="V9">
        <f>HYPERLINK("https://klasma.github.io/Logging_2560/klagomål/A 586-2024 FSC-klagomål.docx", "A 586-2024")</f>
        <v/>
      </c>
      <c r="W9">
        <f>HYPERLINK("https://klasma.github.io/Logging_2560/klagomålsmail/A 586-2024 FSC-klagomål mail.docx", "A 586-2024")</f>
        <v/>
      </c>
      <c r="X9">
        <f>HYPERLINK("https://klasma.github.io/Logging_2560/tillsyn/A 586-2024 tillsynsbegäran.docx", "A 586-2024")</f>
        <v/>
      </c>
      <c r="Y9">
        <f>HYPERLINK("https://klasma.github.io/Logging_2560/tillsynsmail/A 586-2024 tillsynsbegäran mail.docx", "A 586-2024")</f>
        <v/>
      </c>
    </row>
    <row r="10" ht="15" customHeight="1">
      <c r="A10" t="inlineStr">
        <is>
          <t>A 3573-2024</t>
        </is>
      </c>
      <c r="B10" s="1" t="n">
        <v>45320</v>
      </c>
      <c r="C10" s="1" t="n">
        <v>45505</v>
      </c>
      <c r="D10" t="inlineStr">
        <is>
          <t>NORRBOTTENS LÄN</t>
        </is>
      </c>
      <c r="E10" t="inlineStr">
        <is>
          <t>ÄLVSBYN</t>
        </is>
      </c>
      <c r="G10" t="n">
        <v>5.5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Kolflarnlav
Mörk kolflarnlav
Vedflamlav
Norrlandslav
Plattlummer
Tjäder</t>
        </is>
      </c>
      <c r="S10">
        <f>HYPERLINK("https://klasma.github.io/Logging_2560/artfynd/A 3573-2024 artfynd.xlsx", "A 3573-2024")</f>
        <v/>
      </c>
      <c r="T10">
        <f>HYPERLINK("https://klasma.github.io/Logging_2560/kartor/A 3573-2024 karta.png", "A 3573-2024")</f>
        <v/>
      </c>
      <c r="U10">
        <f>HYPERLINK("https://klasma.github.io/Logging_2560/knärot/A 3573-2024 karta knärot.png", "A 3573-2024")</f>
        <v/>
      </c>
      <c r="V10">
        <f>HYPERLINK("https://klasma.github.io/Logging_2560/klagomål/A 3573-2024 FSC-klagomål.docx", "A 3573-2024")</f>
        <v/>
      </c>
      <c r="W10">
        <f>HYPERLINK("https://klasma.github.io/Logging_2560/klagomålsmail/A 3573-2024 FSC-klagomål mail.docx", "A 3573-2024")</f>
        <v/>
      </c>
      <c r="X10">
        <f>HYPERLINK("https://klasma.github.io/Logging_2560/tillsyn/A 3573-2024 tillsynsbegäran.docx", "A 3573-2024")</f>
        <v/>
      </c>
      <c r="Y10">
        <f>HYPERLINK("https://klasma.github.io/Logging_2560/tillsynsmail/A 3573-2024 tillsynsbegäran mail.docx", "A 3573-2024")</f>
        <v/>
      </c>
      <c r="Z10">
        <f>HYPERLINK("https://klasma.github.io/Logging_2560/fåglar/A 3573-2024 prioriterade fågelarter.docx", "A 3573-2024")</f>
        <v/>
      </c>
    </row>
    <row r="11" ht="15" customHeight="1">
      <c r="A11" t="inlineStr">
        <is>
          <t>A 26736-2024</t>
        </is>
      </c>
      <c r="B11" s="1" t="n">
        <v>45470</v>
      </c>
      <c r="C11" s="1" t="n">
        <v>45505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1.3</v>
      </c>
      <c r="H11" t="n">
        <v>0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Smalfotad taggsvamp
Blå taggsvamp
Orange taggsvamp
Svart taggsvamp
Svartvit taggsvamp
Tallriska</t>
        </is>
      </c>
      <c r="S11">
        <f>HYPERLINK("https://klasma.github.io/Logging_2560/artfynd/A 26736-2024 artfynd.xlsx", "A 26736-2024")</f>
        <v/>
      </c>
      <c r="T11">
        <f>HYPERLINK("https://klasma.github.io/Logging_2560/kartor/A 26736-2024 karta.png", "A 26736-2024")</f>
        <v/>
      </c>
      <c r="V11">
        <f>HYPERLINK("https://klasma.github.io/Logging_2560/klagomål/A 26736-2024 FSC-klagomål.docx", "A 26736-2024")</f>
        <v/>
      </c>
      <c r="W11">
        <f>HYPERLINK("https://klasma.github.io/Logging_2560/klagomålsmail/A 26736-2024 FSC-klagomål mail.docx", "A 26736-2024")</f>
        <v/>
      </c>
      <c r="X11">
        <f>HYPERLINK("https://klasma.github.io/Logging_2560/tillsyn/A 26736-2024 tillsynsbegäran.docx", "A 26736-2024")</f>
        <v/>
      </c>
      <c r="Y11">
        <f>HYPERLINK("https://klasma.github.io/Logging_2560/tillsynsmail/A 26736-2024 tillsynsbegäran mail.docx", "A 26736-2024")</f>
        <v/>
      </c>
    </row>
    <row r="12" ht="15" customHeight="1">
      <c r="A12" t="inlineStr">
        <is>
          <t>A 26968-2024</t>
        </is>
      </c>
      <c r="B12" s="1" t="n">
        <v>45471</v>
      </c>
      <c r="C12" s="1" t="n">
        <v>45505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26968-2024 artfynd.xlsx", "A 26968-2024")</f>
        <v/>
      </c>
      <c r="T12">
        <f>HYPERLINK("https://klasma.github.io/Logging_2560/kartor/A 26968-2024 karta.png", "A 26968-2024")</f>
        <v/>
      </c>
      <c r="V12">
        <f>HYPERLINK("https://klasma.github.io/Logging_2560/klagomål/A 26968-2024 FSC-klagomål.docx", "A 26968-2024")</f>
        <v/>
      </c>
      <c r="W12">
        <f>HYPERLINK("https://klasma.github.io/Logging_2560/klagomålsmail/A 26968-2024 FSC-klagomål mail.docx", "A 26968-2024")</f>
        <v/>
      </c>
      <c r="X12">
        <f>HYPERLINK("https://klasma.github.io/Logging_2560/tillsyn/A 26968-2024 tillsynsbegäran.docx", "A 26968-2024")</f>
        <v/>
      </c>
      <c r="Y12">
        <f>HYPERLINK("https://klasma.github.io/Logging_2560/tillsynsmail/A 26968-2024 tillsynsbegäran mail.docx", "A 26968-2024")</f>
        <v/>
      </c>
    </row>
    <row r="13" ht="15" customHeight="1">
      <c r="A13" t="inlineStr">
        <is>
          <t>A 3752-2023</t>
        </is>
      </c>
      <c r="B13" s="1" t="n">
        <v>44949</v>
      </c>
      <c r="C13" s="1" t="n">
        <v>45505</v>
      </c>
      <c r="D13" t="inlineStr">
        <is>
          <t>NORRBOTTENS LÄN</t>
        </is>
      </c>
      <c r="E13" t="inlineStr">
        <is>
          <t>ÄLVSBYN</t>
        </is>
      </c>
      <c r="G13" t="n">
        <v>3.7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Tretåig hackspett
Ullticka</t>
        </is>
      </c>
      <c r="S13">
        <f>HYPERLINK("https://klasma.github.io/Logging_2560/artfynd/A 3752-2023 artfynd.xlsx", "A 3752-2023")</f>
        <v/>
      </c>
      <c r="T13">
        <f>HYPERLINK("https://klasma.github.io/Logging_2560/kartor/A 3752-2023 karta.png", "A 3752-2023")</f>
        <v/>
      </c>
      <c r="V13">
        <f>HYPERLINK("https://klasma.github.io/Logging_2560/klagomål/A 3752-2023 FSC-klagomål.docx", "A 3752-2023")</f>
        <v/>
      </c>
      <c r="W13">
        <f>HYPERLINK("https://klasma.github.io/Logging_2560/klagomålsmail/A 3752-2023 FSC-klagomål mail.docx", "A 3752-2023")</f>
        <v/>
      </c>
      <c r="X13">
        <f>HYPERLINK("https://klasma.github.io/Logging_2560/tillsyn/A 3752-2023 tillsynsbegäran.docx", "A 3752-2023")</f>
        <v/>
      </c>
      <c r="Y13">
        <f>HYPERLINK("https://klasma.github.io/Logging_2560/tillsynsmail/A 3752-2023 tillsynsbegäran mail.docx", "A 3752-2023")</f>
        <v/>
      </c>
      <c r="Z13">
        <f>HYPERLINK("https://klasma.github.io/Logging_2560/fåglar/A 3752-2023 prioriterade fågelarter.docx", "A 3752-2023")</f>
        <v/>
      </c>
    </row>
    <row r="14" ht="15" customHeight="1">
      <c r="A14" t="inlineStr">
        <is>
          <t>A 28088-2023</t>
        </is>
      </c>
      <c r="B14" s="1" t="n">
        <v>45099</v>
      </c>
      <c r="C14" s="1" t="n">
        <v>45505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5.6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Fläckporing
Kolflarnlav
Lunglav</t>
        </is>
      </c>
      <c r="S14">
        <f>HYPERLINK("https://klasma.github.io/Logging_2560/artfynd/A 28088-2023 artfynd.xlsx", "A 28088-2023")</f>
        <v/>
      </c>
      <c r="T14">
        <f>HYPERLINK("https://klasma.github.io/Logging_2560/kartor/A 28088-2023 karta.png", "A 28088-2023")</f>
        <v/>
      </c>
      <c r="V14">
        <f>HYPERLINK("https://klasma.github.io/Logging_2560/klagomål/A 28088-2023 FSC-klagomål.docx", "A 28088-2023")</f>
        <v/>
      </c>
      <c r="W14">
        <f>HYPERLINK("https://klasma.github.io/Logging_2560/klagomålsmail/A 28088-2023 FSC-klagomål mail.docx", "A 28088-2023")</f>
        <v/>
      </c>
      <c r="X14">
        <f>HYPERLINK("https://klasma.github.io/Logging_2560/tillsyn/A 28088-2023 tillsynsbegäran.docx", "A 28088-2023")</f>
        <v/>
      </c>
      <c r="Y14">
        <f>HYPERLINK("https://klasma.github.io/Logging_2560/tillsynsmail/A 28088-2023 tillsynsbegäran mail.docx", "A 28088-2023")</f>
        <v/>
      </c>
    </row>
    <row r="15" ht="15" customHeight="1">
      <c r="A15" t="inlineStr">
        <is>
          <t>A 47132-2023</t>
        </is>
      </c>
      <c r="B15" s="1" t="n">
        <v>45201</v>
      </c>
      <c r="C15" s="1" t="n">
        <v>45505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Motaggsvamp
Skrovlig taggsvamp
Tallriska</t>
        </is>
      </c>
      <c r="S15">
        <f>HYPERLINK("https://klasma.github.io/Logging_2560/artfynd/A 47132-2023 artfynd.xlsx", "A 47132-2023")</f>
        <v/>
      </c>
      <c r="T15">
        <f>HYPERLINK("https://klasma.github.io/Logging_2560/kartor/A 47132-2023 karta.png", "A 47132-2023")</f>
        <v/>
      </c>
      <c r="V15">
        <f>HYPERLINK("https://klasma.github.io/Logging_2560/klagomål/A 47132-2023 FSC-klagomål.docx", "A 47132-2023")</f>
        <v/>
      </c>
      <c r="W15">
        <f>HYPERLINK("https://klasma.github.io/Logging_2560/klagomålsmail/A 47132-2023 FSC-klagomål mail.docx", "A 47132-2023")</f>
        <v/>
      </c>
      <c r="X15">
        <f>HYPERLINK("https://klasma.github.io/Logging_2560/tillsyn/A 47132-2023 tillsynsbegäran.docx", "A 47132-2023")</f>
        <v/>
      </c>
      <c r="Y15">
        <f>HYPERLINK("https://klasma.github.io/Logging_2560/tillsynsmail/A 47132-2023 tillsynsbegäran mail.docx", "A 47132-2023")</f>
        <v/>
      </c>
    </row>
    <row r="16" ht="15" customHeight="1">
      <c r="A16" t="inlineStr">
        <is>
          <t>A 59618-2023</t>
        </is>
      </c>
      <c r="B16" s="1" t="n">
        <v>45254</v>
      </c>
      <c r="C16" s="1" t="n">
        <v>45505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26.3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Svart taggsvamp
Dropptaggsvamp</t>
        </is>
      </c>
      <c r="S16">
        <f>HYPERLINK("https://klasma.github.io/Logging_2560/artfynd/A 59618-2023 artfynd.xlsx", "A 59618-2023")</f>
        <v/>
      </c>
      <c r="T16">
        <f>HYPERLINK("https://klasma.github.io/Logging_2560/kartor/A 59618-2023 karta.png", "A 59618-2023")</f>
        <v/>
      </c>
      <c r="V16">
        <f>HYPERLINK("https://klasma.github.io/Logging_2560/klagomål/A 59618-2023 FSC-klagomål.docx", "A 59618-2023")</f>
        <v/>
      </c>
      <c r="W16">
        <f>HYPERLINK("https://klasma.github.io/Logging_2560/klagomålsmail/A 59618-2023 FSC-klagomål mail.docx", "A 59618-2023")</f>
        <v/>
      </c>
      <c r="X16">
        <f>HYPERLINK("https://klasma.github.io/Logging_2560/tillsyn/A 59618-2023 tillsynsbegäran.docx", "A 59618-2023")</f>
        <v/>
      </c>
      <c r="Y16">
        <f>HYPERLINK("https://klasma.github.io/Logging_2560/tillsynsmail/A 59618-2023 tillsynsbegäran mail.docx", "A 59618-2023")</f>
        <v/>
      </c>
    </row>
    <row r="17" ht="15" customHeight="1">
      <c r="A17" t="inlineStr">
        <is>
          <t>A 8612-2020</t>
        </is>
      </c>
      <c r="B17" s="1" t="n">
        <v>43875</v>
      </c>
      <c r="C17" s="1" t="n">
        <v>45505</v>
      </c>
      <c r="D17" t="inlineStr">
        <is>
          <t>NORRBOTTENS LÄN</t>
        </is>
      </c>
      <c r="E17" t="inlineStr">
        <is>
          <t>ÄLVSBYN</t>
        </is>
      </c>
      <c r="G17" t="n">
        <v>1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Rotfingersvamp
Smalfotad taggsvamp</t>
        </is>
      </c>
      <c r="S17">
        <f>HYPERLINK("https://klasma.github.io/Logging_2560/artfynd/A 8612-2020 artfynd.xlsx", "A 8612-2020")</f>
        <v/>
      </c>
      <c r="T17">
        <f>HYPERLINK("https://klasma.github.io/Logging_2560/kartor/A 8612-2020 karta.png", "A 8612-2020")</f>
        <v/>
      </c>
      <c r="V17">
        <f>HYPERLINK("https://klasma.github.io/Logging_2560/klagomål/A 8612-2020 FSC-klagomål.docx", "A 8612-2020")</f>
        <v/>
      </c>
      <c r="W17">
        <f>HYPERLINK("https://klasma.github.io/Logging_2560/klagomålsmail/A 8612-2020 FSC-klagomål mail.docx", "A 8612-2020")</f>
        <v/>
      </c>
      <c r="X17">
        <f>HYPERLINK("https://klasma.github.io/Logging_2560/tillsyn/A 8612-2020 tillsynsbegäran.docx", "A 8612-2020")</f>
        <v/>
      </c>
      <c r="Y17">
        <f>HYPERLINK("https://klasma.github.io/Logging_2560/tillsynsmail/A 8612-2020 tillsynsbegäran mail.docx", "A 8612-2020")</f>
        <v/>
      </c>
    </row>
    <row r="18" ht="15" customHeight="1">
      <c r="A18" t="inlineStr">
        <is>
          <t>A 52177-2021</t>
        </is>
      </c>
      <c r="B18" s="1" t="n">
        <v>44463</v>
      </c>
      <c r="C18" s="1" t="n">
        <v>45505</v>
      </c>
      <c r="D18" t="inlineStr">
        <is>
          <t>NORRBOTTENS LÄN</t>
        </is>
      </c>
      <c r="E18" t="inlineStr">
        <is>
          <t>ÄLVSBYN</t>
        </is>
      </c>
      <c r="G18" t="n">
        <v>36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HYPERLINK("https://klasma.github.io/Logging_2560/artfynd/A 52177-2021 artfynd.xlsx", "A 52177-2021")</f>
        <v/>
      </c>
      <c r="T18">
        <f>HYPERLINK("https://klasma.github.io/Logging_2560/kartor/A 52177-2021 karta.png", "A 52177-2021")</f>
        <v/>
      </c>
      <c r="V18">
        <f>HYPERLINK("https://klasma.github.io/Logging_2560/klagomål/A 52177-2021 FSC-klagomål.docx", "A 52177-2021")</f>
        <v/>
      </c>
      <c r="W18">
        <f>HYPERLINK("https://klasma.github.io/Logging_2560/klagomålsmail/A 52177-2021 FSC-klagomål mail.docx", "A 52177-2021")</f>
        <v/>
      </c>
      <c r="X18">
        <f>HYPERLINK("https://klasma.github.io/Logging_2560/tillsyn/A 52177-2021 tillsynsbegäran.docx", "A 52177-2021")</f>
        <v/>
      </c>
      <c r="Y18">
        <f>HYPERLINK("https://klasma.github.io/Logging_2560/tillsynsmail/A 52177-2021 tillsynsbegäran mail.docx", "A 52177-2021")</f>
        <v/>
      </c>
      <c r="Z18">
        <f>HYPERLINK("https://klasma.github.io/Logging_2560/fåglar/A 52177-2021 prioriterade fågelarter.docx", "A 52177-2021")</f>
        <v/>
      </c>
    </row>
    <row r="19" ht="15" customHeight="1">
      <c r="A19" t="inlineStr">
        <is>
          <t>A 52513-2022</t>
        </is>
      </c>
      <c r="B19" s="1" t="n">
        <v>44874</v>
      </c>
      <c r="C19" s="1" t="n">
        <v>45505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Lunglav</t>
        </is>
      </c>
      <c r="S19">
        <f>HYPERLINK("https://klasma.github.io/Logging_2560/artfynd/A 52513-2022 artfynd.xlsx", "A 52513-2022")</f>
        <v/>
      </c>
      <c r="T19">
        <f>HYPERLINK("https://klasma.github.io/Logging_2560/kartor/A 52513-2022 karta.png", "A 52513-2022")</f>
        <v/>
      </c>
      <c r="V19">
        <f>HYPERLINK("https://klasma.github.io/Logging_2560/klagomål/A 52513-2022 FSC-klagomål.docx", "A 52513-2022")</f>
        <v/>
      </c>
      <c r="W19">
        <f>HYPERLINK("https://klasma.github.io/Logging_2560/klagomålsmail/A 52513-2022 FSC-klagomål mail.docx", "A 52513-2022")</f>
        <v/>
      </c>
      <c r="X19">
        <f>HYPERLINK("https://klasma.github.io/Logging_2560/tillsyn/A 52513-2022 tillsynsbegäran.docx", "A 52513-2022")</f>
        <v/>
      </c>
      <c r="Y19">
        <f>HYPERLINK("https://klasma.github.io/Logging_2560/tillsynsmail/A 52513-2022 tillsynsbegäran mail.docx", "A 52513-2022")</f>
        <v/>
      </c>
    </row>
    <row r="20" ht="15" customHeight="1">
      <c r="A20" t="inlineStr">
        <is>
          <t>A 29877-2023</t>
        </is>
      </c>
      <c r="B20" s="1" t="n">
        <v>45107</v>
      </c>
      <c r="C20" s="1" t="n">
        <v>45505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8.300000000000001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Lunglav</t>
        </is>
      </c>
      <c r="S20">
        <f>HYPERLINK("https://klasma.github.io/Logging_2560/artfynd/A 29877-2023 artfynd.xlsx", "A 29877-2023")</f>
        <v/>
      </c>
      <c r="T20">
        <f>HYPERLINK("https://klasma.github.io/Logging_2560/kartor/A 29877-2023 karta.png", "A 29877-2023")</f>
        <v/>
      </c>
      <c r="V20">
        <f>HYPERLINK("https://klasma.github.io/Logging_2560/klagomål/A 29877-2023 FSC-klagomål.docx", "A 29877-2023")</f>
        <v/>
      </c>
      <c r="W20">
        <f>HYPERLINK("https://klasma.github.io/Logging_2560/klagomålsmail/A 29877-2023 FSC-klagomål mail.docx", "A 29877-2023")</f>
        <v/>
      </c>
      <c r="X20">
        <f>HYPERLINK("https://klasma.github.io/Logging_2560/tillsyn/A 29877-2023 tillsynsbegäran.docx", "A 29877-2023")</f>
        <v/>
      </c>
      <c r="Y20">
        <f>HYPERLINK("https://klasma.github.io/Logging_2560/tillsynsmail/A 29877-2023 tillsynsbegäran mail.docx", "A 29877-2023")</f>
        <v/>
      </c>
    </row>
    <row r="21" ht="15" customHeight="1">
      <c r="A21" t="inlineStr">
        <is>
          <t>A 47131-2023</t>
        </is>
      </c>
      <c r="B21" s="1" t="n">
        <v>45201</v>
      </c>
      <c r="C21" s="1" t="n">
        <v>45505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13.6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Tallriska</t>
        </is>
      </c>
      <c r="S21">
        <f>HYPERLINK("https://klasma.github.io/Logging_2560/artfynd/A 47131-2023 artfynd.xlsx", "A 47131-2023")</f>
        <v/>
      </c>
      <c r="T21">
        <f>HYPERLINK("https://klasma.github.io/Logging_2560/kartor/A 47131-2023 karta.png", "A 47131-2023")</f>
        <v/>
      </c>
      <c r="V21">
        <f>HYPERLINK("https://klasma.github.io/Logging_2560/klagomål/A 47131-2023 FSC-klagomål.docx", "A 47131-2023")</f>
        <v/>
      </c>
      <c r="W21">
        <f>HYPERLINK("https://klasma.github.io/Logging_2560/klagomålsmail/A 47131-2023 FSC-klagomål mail.docx", "A 47131-2023")</f>
        <v/>
      </c>
      <c r="X21">
        <f>HYPERLINK("https://klasma.github.io/Logging_2560/tillsyn/A 47131-2023 tillsynsbegäran.docx", "A 47131-2023")</f>
        <v/>
      </c>
      <c r="Y21">
        <f>HYPERLINK("https://klasma.github.io/Logging_2560/tillsynsmail/A 47131-2023 tillsynsbegäran mail.docx", "A 47131-2023")</f>
        <v/>
      </c>
    </row>
    <row r="22" ht="15" customHeight="1">
      <c r="A22" t="inlineStr">
        <is>
          <t>A 569-2024</t>
        </is>
      </c>
      <c r="B22" s="1" t="n">
        <v>45299</v>
      </c>
      <c r="C22" s="1" t="n">
        <v>45505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Skarp dropptaggsvamp</t>
        </is>
      </c>
      <c r="S22">
        <f>HYPERLINK("https://klasma.github.io/Logging_2560/artfynd/A 569-2024 artfynd.xlsx", "A 569-2024")</f>
        <v/>
      </c>
      <c r="T22">
        <f>HYPERLINK("https://klasma.github.io/Logging_2560/kartor/A 569-2024 karta.png", "A 569-2024")</f>
        <v/>
      </c>
      <c r="V22">
        <f>HYPERLINK("https://klasma.github.io/Logging_2560/klagomål/A 569-2024 FSC-klagomål.docx", "A 569-2024")</f>
        <v/>
      </c>
      <c r="W22">
        <f>HYPERLINK("https://klasma.github.io/Logging_2560/klagomålsmail/A 569-2024 FSC-klagomål mail.docx", "A 569-2024")</f>
        <v/>
      </c>
      <c r="X22">
        <f>HYPERLINK("https://klasma.github.io/Logging_2560/tillsyn/A 569-2024 tillsynsbegäran.docx", "A 569-2024")</f>
        <v/>
      </c>
      <c r="Y22">
        <f>HYPERLINK("https://klasma.github.io/Logging_2560/tillsynsmail/A 569-2024 tillsynsbegäran mail.docx", "A 569-2024")</f>
        <v/>
      </c>
    </row>
    <row r="23" ht="15" customHeight="1">
      <c r="A23" t="inlineStr">
        <is>
          <t>A 16255-2024</t>
        </is>
      </c>
      <c r="B23" s="1" t="n">
        <v>45407</v>
      </c>
      <c r="C23" s="1" t="n">
        <v>45505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18.5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Lappranunkel</t>
        </is>
      </c>
      <c r="S23">
        <f>HYPERLINK("https://klasma.github.io/Logging_2560/artfynd/A 16255-2024 artfynd.xlsx", "A 16255-2024")</f>
        <v/>
      </c>
      <c r="T23">
        <f>HYPERLINK("https://klasma.github.io/Logging_2560/kartor/A 16255-2024 karta.png", "A 16255-2024")</f>
        <v/>
      </c>
      <c r="V23">
        <f>HYPERLINK("https://klasma.github.io/Logging_2560/klagomål/A 16255-2024 FSC-klagomål.docx", "A 16255-2024")</f>
        <v/>
      </c>
      <c r="W23">
        <f>HYPERLINK("https://klasma.github.io/Logging_2560/klagomålsmail/A 16255-2024 FSC-klagomål mail.docx", "A 16255-2024")</f>
        <v/>
      </c>
      <c r="X23">
        <f>HYPERLINK("https://klasma.github.io/Logging_2560/tillsyn/A 16255-2024 tillsynsbegäran.docx", "A 16255-2024")</f>
        <v/>
      </c>
      <c r="Y23">
        <f>HYPERLINK("https://klasma.github.io/Logging_2560/tillsynsmail/A 16255-2024 tillsynsbegäran mail.docx", "A 16255-2024")</f>
        <v/>
      </c>
    </row>
    <row r="24" ht="15" customHeight="1">
      <c r="A24" t="inlineStr">
        <is>
          <t>A 23134-2024</t>
        </is>
      </c>
      <c r="B24" s="1" t="n">
        <v>45450</v>
      </c>
      <c r="C24" s="1" t="n">
        <v>45505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HYPERLINK("https://klasma.github.io/Logging_2560/artfynd/A 23134-2024 artfynd.xlsx", "A 23134-2024")</f>
        <v/>
      </c>
      <c r="T24">
        <f>HYPERLINK("https://klasma.github.io/Logging_2560/kartor/A 23134-2024 karta.png", "A 23134-2024")</f>
        <v/>
      </c>
      <c r="V24">
        <f>HYPERLINK("https://klasma.github.io/Logging_2560/klagomål/A 23134-2024 FSC-klagomål.docx", "A 23134-2024")</f>
        <v/>
      </c>
      <c r="W24">
        <f>HYPERLINK("https://klasma.github.io/Logging_2560/klagomålsmail/A 23134-2024 FSC-klagomål mail.docx", "A 23134-2024")</f>
        <v/>
      </c>
      <c r="X24">
        <f>HYPERLINK("https://klasma.github.io/Logging_2560/tillsyn/A 23134-2024 tillsynsbegäran.docx", "A 23134-2024")</f>
        <v/>
      </c>
      <c r="Y24">
        <f>HYPERLINK("https://klasma.github.io/Logging_2560/tillsynsmail/A 23134-2024 tillsynsbegäran mail.docx", "A 23134-2024")</f>
        <v/>
      </c>
    </row>
    <row r="25" ht="15" customHeight="1">
      <c r="A25" t="inlineStr">
        <is>
          <t>A 24386-2024</t>
        </is>
      </c>
      <c r="B25" s="1" t="n">
        <v>45457</v>
      </c>
      <c r="C25" s="1" t="n">
        <v>45505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24386-2024 artfynd.xlsx", "A 24386-2024")</f>
        <v/>
      </c>
      <c r="T25">
        <f>HYPERLINK("https://klasma.github.io/Logging_2560/kartor/A 24386-2024 karta.png", "A 24386-2024")</f>
        <v/>
      </c>
      <c r="V25">
        <f>HYPERLINK("https://klasma.github.io/Logging_2560/klagomål/A 24386-2024 FSC-klagomål.docx", "A 24386-2024")</f>
        <v/>
      </c>
      <c r="W25">
        <f>HYPERLINK("https://klasma.github.io/Logging_2560/klagomålsmail/A 24386-2024 FSC-klagomål mail.docx", "A 24386-2024")</f>
        <v/>
      </c>
      <c r="X25">
        <f>HYPERLINK("https://klasma.github.io/Logging_2560/tillsyn/A 24386-2024 tillsynsbegäran.docx", "A 24386-2024")</f>
        <v/>
      </c>
      <c r="Y25">
        <f>HYPERLINK("https://klasma.github.io/Logging_2560/tillsynsmail/A 24386-2024 tillsynsbegäran mail.docx", "A 24386-2024")</f>
        <v/>
      </c>
    </row>
    <row r="26" ht="15" customHeight="1">
      <c r="A26" t="inlineStr">
        <is>
          <t>A 51078-2019</t>
        </is>
      </c>
      <c r="B26" s="1" t="n">
        <v>43739</v>
      </c>
      <c r="C26" s="1" t="n">
        <v>45505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HYPERLINK("https://klasma.github.io/Logging_2560/artfynd/A 51078-2019 artfynd.xlsx", "A 51078-2019")</f>
        <v/>
      </c>
      <c r="T26">
        <f>HYPERLINK("https://klasma.github.io/Logging_2560/kartor/A 51078-2019 karta.png", "A 51078-2019")</f>
        <v/>
      </c>
      <c r="V26">
        <f>HYPERLINK("https://klasma.github.io/Logging_2560/klagomål/A 51078-2019 FSC-klagomål.docx", "A 51078-2019")</f>
        <v/>
      </c>
      <c r="W26">
        <f>HYPERLINK("https://klasma.github.io/Logging_2560/klagomålsmail/A 51078-2019 FSC-klagomål mail.docx", "A 51078-2019")</f>
        <v/>
      </c>
      <c r="X26">
        <f>HYPERLINK("https://klasma.github.io/Logging_2560/tillsyn/A 51078-2019 tillsynsbegäran.docx", "A 51078-2019")</f>
        <v/>
      </c>
      <c r="Y26">
        <f>HYPERLINK("https://klasma.github.io/Logging_2560/tillsynsmail/A 51078-2019 tillsynsbegäran mail.docx", "A 51078-2019")</f>
        <v/>
      </c>
      <c r="Z26">
        <f>HYPERLINK("https://klasma.github.io/Logging_2560/fåglar/A 51078-2019 prioriterade fågelarter.docx", "A 51078-2019")</f>
        <v/>
      </c>
    </row>
    <row r="27" ht="15" customHeight="1">
      <c r="A27" t="inlineStr">
        <is>
          <t>A 58201-2021</t>
        </is>
      </c>
      <c r="B27" s="1" t="n">
        <v>44487</v>
      </c>
      <c r="C27" s="1" t="n">
        <v>45505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HYPERLINK("https://klasma.github.io/Logging_2560/artfynd/A 58201-2021 artfynd.xlsx", "A 58201-2021")</f>
        <v/>
      </c>
      <c r="T27">
        <f>HYPERLINK("https://klasma.github.io/Logging_2560/kartor/A 58201-2021 karta.png", "A 58201-2021")</f>
        <v/>
      </c>
      <c r="V27">
        <f>HYPERLINK("https://klasma.github.io/Logging_2560/klagomål/A 58201-2021 FSC-klagomål.docx", "A 58201-2021")</f>
        <v/>
      </c>
      <c r="W27">
        <f>HYPERLINK("https://klasma.github.io/Logging_2560/klagomålsmail/A 58201-2021 FSC-klagomål mail.docx", "A 58201-2021")</f>
        <v/>
      </c>
      <c r="X27">
        <f>HYPERLINK("https://klasma.github.io/Logging_2560/tillsyn/A 58201-2021 tillsynsbegäran.docx", "A 58201-2021")</f>
        <v/>
      </c>
      <c r="Y27">
        <f>HYPERLINK("https://klasma.github.io/Logging_2560/tillsynsmail/A 58201-2021 tillsynsbegäran mail.docx", "A 58201-2021")</f>
        <v/>
      </c>
      <c r="Z27">
        <f>HYPERLINK("https://klasma.github.io/Logging_2560/fåglar/A 58201-2021 prioriterade fågelarter.docx", "A 58201-2021")</f>
        <v/>
      </c>
    </row>
    <row r="28" ht="15" customHeight="1">
      <c r="A28" t="inlineStr">
        <is>
          <t>A 16470-2022</t>
        </is>
      </c>
      <c r="B28" s="1" t="n">
        <v>44671</v>
      </c>
      <c r="C28" s="1" t="n">
        <v>45505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HYPERLINK("https://klasma.github.io/Logging_2560/artfynd/A 16470-2022 artfynd.xlsx", "A 16470-2022")</f>
        <v/>
      </c>
      <c r="T28">
        <f>HYPERLINK("https://klasma.github.io/Logging_2560/kartor/A 16470-2022 karta.png", "A 16470-2022")</f>
        <v/>
      </c>
      <c r="V28">
        <f>HYPERLINK("https://klasma.github.io/Logging_2560/klagomål/A 16470-2022 FSC-klagomål.docx", "A 16470-2022")</f>
        <v/>
      </c>
      <c r="W28">
        <f>HYPERLINK("https://klasma.github.io/Logging_2560/klagomålsmail/A 16470-2022 FSC-klagomål mail.docx", "A 16470-2022")</f>
        <v/>
      </c>
      <c r="X28">
        <f>HYPERLINK("https://klasma.github.io/Logging_2560/tillsyn/A 16470-2022 tillsynsbegäran.docx", "A 16470-2022")</f>
        <v/>
      </c>
      <c r="Y28">
        <f>HYPERLINK("https://klasma.github.io/Logging_2560/tillsynsmail/A 16470-2022 tillsynsbegäran mail.docx", "A 16470-2022")</f>
        <v/>
      </c>
    </row>
    <row r="29" ht="15" customHeight="1">
      <c r="A29" t="inlineStr">
        <is>
          <t>A 34022-2022</t>
        </is>
      </c>
      <c r="B29" s="1" t="n">
        <v>44791</v>
      </c>
      <c r="C29" s="1" t="n">
        <v>45505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HYPERLINK("https://klasma.github.io/Logging_2560/artfynd/A 34022-2022 artfynd.xlsx", "A 34022-2022")</f>
        <v/>
      </c>
      <c r="T29">
        <f>HYPERLINK("https://klasma.github.io/Logging_2560/kartor/A 34022-2022 karta.png", "A 34022-2022")</f>
        <v/>
      </c>
      <c r="V29">
        <f>HYPERLINK("https://klasma.github.io/Logging_2560/klagomål/A 34022-2022 FSC-klagomål.docx", "A 34022-2022")</f>
        <v/>
      </c>
      <c r="W29">
        <f>HYPERLINK("https://klasma.github.io/Logging_2560/klagomålsmail/A 34022-2022 FSC-klagomål mail.docx", "A 34022-2022")</f>
        <v/>
      </c>
      <c r="X29">
        <f>HYPERLINK("https://klasma.github.io/Logging_2560/tillsyn/A 34022-2022 tillsynsbegäran.docx", "A 34022-2022")</f>
        <v/>
      </c>
      <c r="Y29">
        <f>HYPERLINK("https://klasma.github.io/Logging_2560/tillsynsmail/A 34022-2022 tillsynsbegäran mail.docx", "A 34022-2022")</f>
        <v/>
      </c>
    </row>
    <row r="30" ht="15" customHeight="1">
      <c r="A30" t="inlineStr">
        <is>
          <t>A 38620-2022</t>
        </is>
      </c>
      <c r="B30" s="1" t="n">
        <v>44813</v>
      </c>
      <c r="C30" s="1" t="n">
        <v>45505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HYPERLINK("https://klasma.github.io/Logging_2560/artfynd/A 38620-2022 artfynd.xlsx", "A 38620-2022")</f>
        <v/>
      </c>
      <c r="T30">
        <f>HYPERLINK("https://klasma.github.io/Logging_2560/kartor/A 38620-2022 karta.png", "A 38620-2022")</f>
        <v/>
      </c>
      <c r="V30">
        <f>HYPERLINK("https://klasma.github.io/Logging_2560/klagomål/A 38620-2022 FSC-klagomål.docx", "A 38620-2022")</f>
        <v/>
      </c>
      <c r="W30">
        <f>HYPERLINK("https://klasma.github.io/Logging_2560/klagomålsmail/A 38620-2022 FSC-klagomål mail.docx", "A 38620-2022")</f>
        <v/>
      </c>
      <c r="X30">
        <f>HYPERLINK("https://klasma.github.io/Logging_2560/tillsyn/A 38620-2022 tillsynsbegäran.docx", "A 38620-2022")</f>
        <v/>
      </c>
      <c r="Y30">
        <f>HYPERLINK("https://klasma.github.io/Logging_2560/tillsynsmail/A 38620-2022 tillsynsbegäran mail.docx", "A 38620-2022")</f>
        <v/>
      </c>
    </row>
    <row r="31" ht="15" customHeight="1">
      <c r="A31" t="inlineStr">
        <is>
          <t>A 42680-2022</t>
        </is>
      </c>
      <c r="B31" s="1" t="n">
        <v>44832</v>
      </c>
      <c r="C31" s="1" t="n">
        <v>45505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HYPERLINK("https://klasma.github.io/Logging_2560/artfynd/A 42680-2022 artfynd.xlsx", "A 42680-2022")</f>
        <v/>
      </c>
      <c r="T31">
        <f>HYPERLINK("https://klasma.github.io/Logging_2560/kartor/A 42680-2022 karta.png", "A 42680-2022")</f>
        <v/>
      </c>
      <c r="V31">
        <f>HYPERLINK("https://klasma.github.io/Logging_2560/klagomål/A 42680-2022 FSC-klagomål.docx", "A 42680-2022")</f>
        <v/>
      </c>
      <c r="W31">
        <f>HYPERLINK("https://klasma.github.io/Logging_2560/klagomålsmail/A 42680-2022 FSC-klagomål mail.docx", "A 42680-2022")</f>
        <v/>
      </c>
      <c r="X31">
        <f>HYPERLINK("https://klasma.github.io/Logging_2560/tillsyn/A 42680-2022 tillsynsbegäran.docx", "A 42680-2022")</f>
        <v/>
      </c>
      <c r="Y31">
        <f>HYPERLINK("https://klasma.github.io/Logging_2560/tillsynsmail/A 42680-2022 tillsynsbegäran mail.docx", "A 42680-2022")</f>
        <v/>
      </c>
    </row>
    <row r="32" ht="15" customHeight="1">
      <c r="A32" t="inlineStr">
        <is>
          <t>A 44283-2022</t>
        </is>
      </c>
      <c r="B32" s="1" t="n">
        <v>44839</v>
      </c>
      <c r="C32" s="1" t="n">
        <v>45505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44283-2022 artfynd.xlsx", "A 44283-2022")</f>
        <v/>
      </c>
      <c r="T32">
        <f>HYPERLINK("https://klasma.github.io/Logging_2560/kartor/A 44283-2022 karta.png", "A 44283-2022")</f>
        <v/>
      </c>
      <c r="V32">
        <f>HYPERLINK("https://klasma.github.io/Logging_2560/klagomål/A 44283-2022 FSC-klagomål.docx", "A 44283-2022")</f>
        <v/>
      </c>
      <c r="W32">
        <f>HYPERLINK("https://klasma.github.io/Logging_2560/klagomålsmail/A 44283-2022 FSC-klagomål mail.docx", "A 44283-2022")</f>
        <v/>
      </c>
      <c r="X32">
        <f>HYPERLINK("https://klasma.github.io/Logging_2560/tillsyn/A 44283-2022 tillsynsbegäran.docx", "A 44283-2022")</f>
        <v/>
      </c>
      <c r="Y32">
        <f>HYPERLINK("https://klasma.github.io/Logging_2560/tillsynsmail/A 44283-2022 tillsynsbegäran mail.docx", "A 44283-2022")</f>
        <v/>
      </c>
    </row>
    <row r="33" ht="15" customHeight="1">
      <c r="A33" t="inlineStr">
        <is>
          <t>A 7068-2023</t>
        </is>
      </c>
      <c r="B33" s="1" t="n">
        <v>44969</v>
      </c>
      <c r="C33" s="1" t="n">
        <v>45505</v>
      </c>
      <c r="D33" t="inlineStr">
        <is>
          <t>NORRBOTTENS LÄN</t>
        </is>
      </c>
      <c r="E33" t="inlineStr">
        <is>
          <t>ÄLVSBYN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HYPERLINK("https://klasma.github.io/Logging_2560/artfynd/A 7068-2023 artfynd.xlsx", "A 7068-2023")</f>
        <v/>
      </c>
      <c r="T33">
        <f>HYPERLINK("https://klasma.github.io/Logging_2560/kartor/A 7068-2023 karta.png", "A 7068-2023")</f>
        <v/>
      </c>
      <c r="V33">
        <f>HYPERLINK("https://klasma.github.io/Logging_2560/klagomål/A 7068-2023 FSC-klagomål.docx", "A 7068-2023")</f>
        <v/>
      </c>
      <c r="W33">
        <f>HYPERLINK("https://klasma.github.io/Logging_2560/klagomålsmail/A 7068-2023 FSC-klagomål mail.docx", "A 7068-2023")</f>
        <v/>
      </c>
      <c r="X33">
        <f>HYPERLINK("https://klasma.github.io/Logging_2560/tillsyn/A 7068-2023 tillsynsbegäran.docx", "A 7068-2023")</f>
        <v/>
      </c>
      <c r="Y33">
        <f>HYPERLINK("https://klasma.github.io/Logging_2560/tillsynsmail/A 7068-2023 tillsynsbegäran mail.docx", "A 7068-2023")</f>
        <v/>
      </c>
    </row>
    <row r="34" ht="15" customHeight="1">
      <c r="A34" t="inlineStr">
        <is>
          <t>A 31829-2023</t>
        </is>
      </c>
      <c r="B34" s="1" t="n">
        <v>45106</v>
      </c>
      <c r="C34" s="1" t="n">
        <v>45505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HYPERLINK("https://klasma.github.io/Logging_2560/artfynd/A 31829-2023 artfynd.xlsx", "A 31829-2023")</f>
        <v/>
      </c>
      <c r="T34">
        <f>HYPERLINK("https://klasma.github.io/Logging_2560/kartor/A 31829-2023 karta.png", "A 31829-2023")</f>
        <v/>
      </c>
      <c r="V34">
        <f>HYPERLINK("https://klasma.github.io/Logging_2560/klagomål/A 31829-2023 FSC-klagomål.docx", "A 31829-2023")</f>
        <v/>
      </c>
      <c r="W34">
        <f>HYPERLINK("https://klasma.github.io/Logging_2560/klagomålsmail/A 31829-2023 FSC-klagomål mail.docx", "A 31829-2023")</f>
        <v/>
      </c>
      <c r="X34">
        <f>HYPERLINK("https://klasma.github.io/Logging_2560/tillsyn/A 31829-2023 tillsynsbegäran.docx", "A 31829-2023")</f>
        <v/>
      </c>
      <c r="Y34">
        <f>HYPERLINK("https://klasma.github.io/Logging_2560/tillsynsmail/A 31829-2023 tillsynsbegäran mail.docx", "A 31829-2023")</f>
        <v/>
      </c>
      <c r="Z34">
        <f>HYPERLINK("https://klasma.github.io/Logging_2560/fåglar/A 31829-2023 prioriterade fågelarter.docx", "A 31829-2023")</f>
        <v/>
      </c>
    </row>
    <row r="35" ht="15" customHeight="1">
      <c r="A35" t="inlineStr">
        <is>
          <t>A 29651-2023</t>
        </is>
      </c>
      <c r="B35" s="1" t="n">
        <v>45107</v>
      </c>
      <c r="C35" s="1" t="n">
        <v>45505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HYPERLINK("https://klasma.github.io/Logging_2560/artfynd/A 29651-2023 artfynd.xlsx", "A 29651-2023")</f>
        <v/>
      </c>
      <c r="T35">
        <f>HYPERLINK("https://klasma.github.io/Logging_2560/kartor/A 29651-2023 karta.png", "A 29651-2023")</f>
        <v/>
      </c>
      <c r="V35">
        <f>HYPERLINK("https://klasma.github.io/Logging_2560/klagomål/A 29651-2023 FSC-klagomål.docx", "A 29651-2023")</f>
        <v/>
      </c>
      <c r="W35">
        <f>HYPERLINK("https://klasma.github.io/Logging_2560/klagomålsmail/A 29651-2023 FSC-klagomål mail.docx", "A 29651-2023")</f>
        <v/>
      </c>
      <c r="X35">
        <f>HYPERLINK("https://klasma.github.io/Logging_2560/tillsyn/A 29651-2023 tillsynsbegäran.docx", "A 29651-2023")</f>
        <v/>
      </c>
      <c r="Y35">
        <f>HYPERLINK("https://klasma.github.io/Logging_2560/tillsynsmail/A 29651-2023 tillsynsbegäran mail.docx", "A 29651-2023")</f>
        <v/>
      </c>
    </row>
    <row r="36" ht="15" customHeight="1">
      <c r="A36" t="inlineStr">
        <is>
          <t>A 29650-2023</t>
        </is>
      </c>
      <c r="B36" s="1" t="n">
        <v>45107</v>
      </c>
      <c r="C36" s="1" t="n">
        <v>45505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29650-2023 artfynd.xlsx", "A 29650-2023")</f>
        <v/>
      </c>
      <c r="T36">
        <f>HYPERLINK("https://klasma.github.io/Logging_2560/kartor/A 29650-2023 karta.png", "A 29650-2023")</f>
        <v/>
      </c>
      <c r="V36">
        <f>HYPERLINK("https://klasma.github.io/Logging_2560/klagomål/A 29650-2023 FSC-klagomål.docx", "A 29650-2023")</f>
        <v/>
      </c>
      <c r="W36">
        <f>HYPERLINK("https://klasma.github.io/Logging_2560/klagomålsmail/A 29650-2023 FSC-klagomål mail.docx", "A 29650-2023")</f>
        <v/>
      </c>
      <c r="X36">
        <f>HYPERLINK("https://klasma.github.io/Logging_2560/tillsyn/A 29650-2023 tillsynsbegäran.docx", "A 29650-2023")</f>
        <v/>
      </c>
      <c r="Y36">
        <f>HYPERLINK("https://klasma.github.io/Logging_2560/tillsynsmail/A 29650-2023 tillsynsbegäran mail.docx", "A 29650-2023")</f>
        <v/>
      </c>
    </row>
    <row r="37" ht="15" customHeight="1">
      <c r="A37" t="inlineStr">
        <is>
          <t>A 37717-2023</t>
        </is>
      </c>
      <c r="B37" s="1" t="n">
        <v>45159</v>
      </c>
      <c r="C37" s="1" t="n">
        <v>45505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37717-2023 artfynd.xlsx", "A 37717-2023")</f>
        <v/>
      </c>
      <c r="T37">
        <f>HYPERLINK("https://klasma.github.io/Logging_2560/kartor/A 37717-2023 karta.png", "A 37717-2023")</f>
        <v/>
      </c>
      <c r="V37">
        <f>HYPERLINK("https://klasma.github.io/Logging_2560/klagomål/A 37717-2023 FSC-klagomål.docx", "A 37717-2023")</f>
        <v/>
      </c>
      <c r="W37">
        <f>HYPERLINK("https://klasma.github.io/Logging_2560/klagomålsmail/A 37717-2023 FSC-klagomål mail.docx", "A 37717-2023")</f>
        <v/>
      </c>
      <c r="X37">
        <f>HYPERLINK("https://klasma.github.io/Logging_2560/tillsyn/A 37717-2023 tillsynsbegäran.docx", "A 37717-2023")</f>
        <v/>
      </c>
      <c r="Y37">
        <f>HYPERLINK("https://klasma.github.io/Logging_2560/tillsynsmail/A 37717-2023 tillsynsbegäran mail.docx", "A 37717-2023")</f>
        <v/>
      </c>
    </row>
    <row r="38" ht="15" customHeight="1">
      <c r="A38" t="inlineStr">
        <is>
          <t>A 39828-2023</t>
        </is>
      </c>
      <c r="B38" s="1" t="n">
        <v>45168</v>
      </c>
      <c r="C38" s="1" t="n">
        <v>45505</v>
      </c>
      <c r="D38" t="inlineStr">
        <is>
          <t>NORRBOTTENS LÄN</t>
        </is>
      </c>
      <c r="E38" t="inlineStr">
        <is>
          <t>ÄLVSBYN</t>
        </is>
      </c>
      <c r="G38" t="n">
        <v>14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HYPERLINK("https://klasma.github.io/Logging_2560/artfynd/A 39828-2023 artfynd.xlsx", "A 39828-2023")</f>
        <v/>
      </c>
      <c r="T38">
        <f>HYPERLINK("https://klasma.github.io/Logging_2560/kartor/A 39828-2023 karta.png", "A 39828-2023")</f>
        <v/>
      </c>
      <c r="V38">
        <f>HYPERLINK("https://klasma.github.io/Logging_2560/klagomål/A 39828-2023 FSC-klagomål.docx", "A 39828-2023")</f>
        <v/>
      </c>
      <c r="W38">
        <f>HYPERLINK("https://klasma.github.io/Logging_2560/klagomålsmail/A 39828-2023 FSC-klagomål mail.docx", "A 39828-2023")</f>
        <v/>
      </c>
      <c r="X38">
        <f>HYPERLINK("https://klasma.github.io/Logging_2560/tillsyn/A 39828-2023 tillsynsbegäran.docx", "A 39828-2023")</f>
        <v/>
      </c>
      <c r="Y38">
        <f>HYPERLINK("https://klasma.github.io/Logging_2560/tillsynsmail/A 39828-2023 tillsynsbegäran mail.docx", "A 39828-2023")</f>
        <v/>
      </c>
    </row>
    <row r="39" ht="15" customHeight="1">
      <c r="A39" t="inlineStr">
        <is>
          <t>A 40463-2023</t>
        </is>
      </c>
      <c r="B39" s="1" t="n">
        <v>45170</v>
      </c>
      <c r="C39" s="1" t="n">
        <v>45505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HYPERLINK("https://klasma.github.io/Logging_2560/artfynd/A 40463-2023 artfynd.xlsx", "A 40463-2023")</f>
        <v/>
      </c>
      <c r="T39">
        <f>HYPERLINK("https://klasma.github.io/Logging_2560/kartor/A 40463-2023 karta.png", "A 40463-2023")</f>
        <v/>
      </c>
      <c r="V39">
        <f>HYPERLINK("https://klasma.github.io/Logging_2560/klagomål/A 40463-2023 FSC-klagomål.docx", "A 40463-2023")</f>
        <v/>
      </c>
      <c r="W39">
        <f>HYPERLINK("https://klasma.github.io/Logging_2560/klagomålsmail/A 40463-2023 FSC-klagomål mail.docx", "A 40463-2023")</f>
        <v/>
      </c>
      <c r="X39">
        <f>HYPERLINK("https://klasma.github.io/Logging_2560/tillsyn/A 40463-2023 tillsynsbegäran.docx", "A 40463-2023")</f>
        <v/>
      </c>
      <c r="Y39">
        <f>HYPERLINK("https://klasma.github.io/Logging_2560/tillsynsmail/A 40463-2023 tillsynsbegäran mail.docx", "A 40463-2023")</f>
        <v/>
      </c>
    </row>
    <row r="40" ht="15" customHeight="1">
      <c r="A40" t="inlineStr">
        <is>
          <t>A 18646-2024</t>
        </is>
      </c>
      <c r="B40" s="1" t="n">
        <v>45425</v>
      </c>
      <c r="C40" s="1" t="n">
        <v>45505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18646-2024 artfynd.xlsx", "A 18646-2024")</f>
        <v/>
      </c>
      <c r="T40">
        <f>HYPERLINK("https://klasma.github.io/Logging_2560/kartor/A 18646-2024 karta.png", "A 18646-2024")</f>
        <v/>
      </c>
      <c r="V40">
        <f>HYPERLINK("https://klasma.github.io/Logging_2560/klagomål/A 18646-2024 FSC-klagomål.docx", "A 18646-2024")</f>
        <v/>
      </c>
      <c r="W40">
        <f>HYPERLINK("https://klasma.github.io/Logging_2560/klagomålsmail/A 18646-2024 FSC-klagomål mail.docx", "A 18646-2024")</f>
        <v/>
      </c>
      <c r="X40">
        <f>HYPERLINK("https://klasma.github.io/Logging_2560/tillsyn/A 18646-2024 tillsynsbegäran.docx", "A 18646-2024")</f>
        <v/>
      </c>
      <c r="Y40">
        <f>HYPERLINK("https://klasma.github.io/Logging_2560/tillsynsmail/A 18646-2024 tillsynsbegäran mail.docx", "A 18646-2024")</f>
        <v/>
      </c>
    </row>
    <row r="41" ht="15" customHeight="1">
      <c r="A41" t="inlineStr">
        <is>
          <t>A 21974-2024</t>
        </is>
      </c>
      <c r="B41" s="1" t="n">
        <v>45443</v>
      </c>
      <c r="C41" s="1" t="n">
        <v>45505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HYPERLINK("https://klasma.github.io/Logging_2560/artfynd/A 21974-2024 artfynd.xlsx", "A 21974-2024")</f>
        <v/>
      </c>
      <c r="T41">
        <f>HYPERLINK("https://klasma.github.io/Logging_2560/kartor/A 21974-2024 karta.png", "A 21974-2024")</f>
        <v/>
      </c>
      <c r="V41">
        <f>HYPERLINK("https://klasma.github.io/Logging_2560/klagomål/A 21974-2024 FSC-klagomål.docx", "A 21974-2024")</f>
        <v/>
      </c>
      <c r="W41">
        <f>HYPERLINK("https://klasma.github.io/Logging_2560/klagomålsmail/A 21974-2024 FSC-klagomål mail.docx", "A 21974-2024")</f>
        <v/>
      </c>
      <c r="X41">
        <f>HYPERLINK("https://klasma.github.io/Logging_2560/tillsyn/A 21974-2024 tillsynsbegäran.docx", "A 21974-2024")</f>
        <v/>
      </c>
      <c r="Y41">
        <f>HYPERLINK("https://klasma.github.io/Logging_2560/tillsynsmail/A 21974-2024 tillsynsbegäran mail.docx", "A 21974-2024")</f>
        <v/>
      </c>
    </row>
    <row r="42" ht="15" customHeight="1">
      <c r="A42" t="inlineStr">
        <is>
          <t>A 21858-2024</t>
        </is>
      </c>
      <c r="B42" s="1" t="n">
        <v>45443</v>
      </c>
      <c r="C42" s="1" t="n">
        <v>45505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21858-2024 artfynd.xlsx", "A 21858-2024")</f>
        <v/>
      </c>
      <c r="T42">
        <f>HYPERLINK("https://klasma.github.io/Logging_2560/kartor/A 21858-2024 karta.png", "A 21858-2024")</f>
        <v/>
      </c>
      <c r="V42">
        <f>HYPERLINK("https://klasma.github.io/Logging_2560/klagomål/A 21858-2024 FSC-klagomål.docx", "A 21858-2024")</f>
        <v/>
      </c>
      <c r="W42">
        <f>HYPERLINK("https://klasma.github.io/Logging_2560/klagomålsmail/A 21858-2024 FSC-klagomål mail.docx", "A 21858-2024")</f>
        <v/>
      </c>
      <c r="X42">
        <f>HYPERLINK("https://klasma.github.io/Logging_2560/tillsyn/A 21858-2024 tillsynsbegäran.docx", "A 21858-2024")</f>
        <v/>
      </c>
      <c r="Y42">
        <f>HYPERLINK("https://klasma.github.io/Logging_2560/tillsynsmail/A 21858-2024 tillsynsbegäran mail.docx", "A 21858-2024")</f>
        <v/>
      </c>
    </row>
    <row r="43" ht="15" customHeight="1">
      <c r="A43" t="inlineStr">
        <is>
          <t>A 23132-2024</t>
        </is>
      </c>
      <c r="B43" s="1" t="n">
        <v>45450</v>
      </c>
      <c r="C43" s="1" t="n">
        <v>45505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23132-2024 artfynd.xlsx", "A 23132-2024")</f>
        <v/>
      </c>
      <c r="T43">
        <f>HYPERLINK("https://klasma.github.io/Logging_2560/kartor/A 23132-2024 karta.png", "A 23132-2024")</f>
        <v/>
      </c>
      <c r="V43">
        <f>HYPERLINK("https://klasma.github.io/Logging_2560/klagomål/A 23132-2024 FSC-klagomål.docx", "A 23132-2024")</f>
        <v/>
      </c>
      <c r="W43">
        <f>HYPERLINK("https://klasma.github.io/Logging_2560/klagomålsmail/A 23132-2024 FSC-klagomål mail.docx", "A 23132-2024")</f>
        <v/>
      </c>
      <c r="X43">
        <f>HYPERLINK("https://klasma.github.io/Logging_2560/tillsyn/A 23132-2024 tillsynsbegäran.docx", "A 23132-2024")</f>
        <v/>
      </c>
      <c r="Y43">
        <f>HYPERLINK("https://klasma.github.io/Logging_2560/tillsynsmail/A 23132-2024 tillsynsbegäran mail.docx", "A 23132-2024")</f>
        <v/>
      </c>
    </row>
    <row r="44" ht="15" customHeight="1">
      <c r="A44" t="inlineStr">
        <is>
          <t>A 23610-2019</t>
        </is>
      </c>
      <c r="B44" s="1" t="n">
        <v>43594</v>
      </c>
      <c r="C44" s="1" t="n">
        <v>45505</v>
      </c>
      <c r="D44" t="inlineStr">
        <is>
          <t>NORRBOTTENS LÄN</t>
        </is>
      </c>
      <c r="E44" t="inlineStr">
        <is>
          <t>ÄLVSBYN</t>
        </is>
      </c>
      <c r="F44" t="inlineStr">
        <is>
          <t>Kommuner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23647-2019</t>
        </is>
      </c>
      <c r="B45" s="1" t="n">
        <v>43594</v>
      </c>
      <c r="C45" s="1" t="n">
        <v>45505</v>
      </c>
      <c r="D45" t="inlineStr">
        <is>
          <t>NORRBOTTENS LÄN</t>
        </is>
      </c>
      <c r="E45" t="inlineStr">
        <is>
          <t>ÄLVSBYN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23642-2019</t>
        </is>
      </c>
      <c r="B46" s="1" t="n">
        <v>43594</v>
      </c>
      <c r="C46" s="1" t="n">
        <v>45505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24129-2019</t>
        </is>
      </c>
      <c r="B47" s="1" t="n">
        <v>43598</v>
      </c>
      <c r="C47" s="1" t="n">
        <v>45505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25214-2019</t>
        </is>
      </c>
      <c r="B48" s="1" t="n">
        <v>43600</v>
      </c>
      <c r="C48" s="1" t="n">
        <v>45505</v>
      </c>
      <c r="D48" t="inlineStr">
        <is>
          <t>NORRBOTTENS LÄN</t>
        </is>
      </c>
      <c r="E48" t="inlineStr">
        <is>
          <t>ÄLVSBYN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26818-2019</t>
        </is>
      </c>
      <c r="B49" s="1" t="n">
        <v>43607</v>
      </c>
      <c r="C49" s="1" t="n">
        <v>45505</v>
      </c>
      <c r="D49" t="inlineStr">
        <is>
          <t>NORRBOTTENS LÄN</t>
        </is>
      </c>
      <c r="E49" t="inlineStr">
        <is>
          <t>ÄLVSBYN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27233-2019</t>
        </is>
      </c>
      <c r="B50" s="1" t="n">
        <v>43614</v>
      </c>
      <c r="C50" s="1" t="n">
        <v>45505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34165-2019</t>
        </is>
      </c>
      <c r="B51" s="1" t="n">
        <v>43655</v>
      </c>
      <c r="C51" s="1" t="n">
        <v>45505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36781-2019</t>
        </is>
      </c>
      <c r="B52" s="1" t="n">
        <v>43672</v>
      </c>
      <c r="C52" s="1" t="n">
        <v>45505</v>
      </c>
      <c r="D52" t="inlineStr">
        <is>
          <t>NORRBOTTENS LÄN</t>
        </is>
      </c>
      <c r="E52" t="inlineStr">
        <is>
          <t>ÄLVSBYN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37311-2019</t>
        </is>
      </c>
      <c r="B53" s="1" t="n">
        <v>43677</v>
      </c>
      <c r="C53" s="1" t="n">
        <v>45505</v>
      </c>
      <c r="D53" t="inlineStr">
        <is>
          <t>NORRBOTTENS LÄN</t>
        </is>
      </c>
      <c r="E53" t="inlineStr">
        <is>
          <t>ÄLVSBYN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37313-2019</t>
        </is>
      </c>
      <c r="B54" s="1" t="n">
        <v>43677</v>
      </c>
      <c r="C54" s="1" t="n">
        <v>45505</v>
      </c>
      <c r="D54" t="inlineStr">
        <is>
          <t>NORRBOTTENS LÄN</t>
        </is>
      </c>
      <c r="E54" t="inlineStr">
        <is>
          <t>ÄLVSBYN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39333-2019</t>
        </is>
      </c>
      <c r="B55" s="1" t="n">
        <v>43690</v>
      </c>
      <c r="C55" s="1" t="n">
        <v>45505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39670-2019</t>
        </is>
      </c>
      <c r="B56" s="1" t="n">
        <v>43691</v>
      </c>
      <c r="C56" s="1" t="n">
        <v>45505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42887-2019</t>
        </is>
      </c>
      <c r="B57" s="1" t="n">
        <v>43705</v>
      </c>
      <c r="C57" s="1" t="n">
        <v>45505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45428-2019</t>
        </is>
      </c>
      <c r="B58" s="1" t="n">
        <v>43710</v>
      </c>
      <c r="C58" s="1" t="n">
        <v>45505</v>
      </c>
      <c r="D58" t="inlineStr">
        <is>
          <t>NORRBOTTENS LÄN</t>
        </is>
      </c>
      <c r="E58" t="inlineStr">
        <is>
          <t>ÄLVSBYN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45337-2019</t>
        </is>
      </c>
      <c r="B59" s="1" t="n">
        <v>43710</v>
      </c>
      <c r="C59" s="1" t="n">
        <v>45505</v>
      </c>
      <c r="D59" t="inlineStr">
        <is>
          <t>NORRBOTTENS LÄN</t>
        </is>
      </c>
      <c r="E59" t="inlineStr">
        <is>
          <t>ÄLVSBYN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44641-2019</t>
        </is>
      </c>
      <c r="B60" s="1" t="n">
        <v>43712</v>
      </c>
      <c r="C60" s="1" t="n">
        <v>45505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45130-2019</t>
        </is>
      </c>
      <c r="B61" s="1" t="n">
        <v>43713</v>
      </c>
      <c r="C61" s="1" t="n">
        <v>45505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45185-2019</t>
        </is>
      </c>
      <c r="B62" s="1" t="n">
        <v>43713</v>
      </c>
      <c r="C62" s="1" t="n">
        <v>45505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45184-2019</t>
        </is>
      </c>
      <c r="B63" s="1" t="n">
        <v>43713</v>
      </c>
      <c r="C63" s="1" t="n">
        <v>45505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46362-2019</t>
        </is>
      </c>
      <c r="B64" s="1" t="n">
        <v>43718</v>
      </c>
      <c r="C64" s="1" t="n">
        <v>45505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46363-2019</t>
        </is>
      </c>
      <c r="B65" s="1" t="n">
        <v>43718</v>
      </c>
      <c r="C65" s="1" t="n">
        <v>45505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47099-2019</t>
        </is>
      </c>
      <c r="B66" s="1" t="n">
        <v>43721</v>
      </c>
      <c r="C66" s="1" t="n">
        <v>45505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48608-2019</t>
        </is>
      </c>
      <c r="B67" s="1" t="n">
        <v>43727</v>
      </c>
      <c r="C67" s="1" t="n">
        <v>45505</v>
      </c>
      <c r="D67" t="inlineStr">
        <is>
          <t>NORRBOTTENS LÄN</t>
        </is>
      </c>
      <c r="E67" t="inlineStr">
        <is>
          <t>ÄLVSBYN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51067-2019</t>
        </is>
      </c>
      <c r="B68" s="1" t="n">
        <v>43739</v>
      </c>
      <c r="C68" s="1" t="n">
        <v>45505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53821-2019</t>
        </is>
      </c>
      <c r="B69" s="1" t="n">
        <v>43742</v>
      </c>
      <c r="C69" s="1" t="n">
        <v>45505</v>
      </c>
      <c r="D69" t="inlineStr">
        <is>
          <t>NORRBOTTENS LÄN</t>
        </is>
      </c>
      <c r="E69" t="inlineStr">
        <is>
          <t>ÄLVSBYN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54007-2019</t>
        </is>
      </c>
      <c r="B70" s="1" t="n">
        <v>43742</v>
      </c>
      <c r="C70" s="1" t="n">
        <v>45505</v>
      </c>
      <c r="D70" t="inlineStr">
        <is>
          <t>NORRBOTTENS LÄN</t>
        </is>
      </c>
      <c r="E70" t="inlineStr">
        <is>
          <t>ÄLVSBYN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53818-2019</t>
        </is>
      </c>
      <c r="B71" s="1" t="n">
        <v>43752</v>
      </c>
      <c r="C71" s="1" t="n">
        <v>45505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59343-2019</t>
        </is>
      </c>
      <c r="B72" s="1" t="n">
        <v>43770</v>
      </c>
      <c r="C72" s="1" t="n">
        <v>45505</v>
      </c>
      <c r="D72" t="inlineStr">
        <is>
          <t>NORRBOTTENS LÄN</t>
        </is>
      </c>
      <c r="E72" t="inlineStr">
        <is>
          <t>ÄLVSBYN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59263-2019</t>
        </is>
      </c>
      <c r="B73" s="1" t="n">
        <v>43773</v>
      </c>
      <c r="C73" s="1" t="n">
        <v>45505</v>
      </c>
      <c r="D73" t="inlineStr">
        <is>
          <t>NORRBOTTENS LÄN</t>
        </is>
      </c>
      <c r="E73" t="inlineStr">
        <is>
          <t>ÄLVSBYN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61696-2019</t>
        </is>
      </c>
      <c r="B74" s="1" t="n">
        <v>43780</v>
      </c>
      <c r="C74" s="1" t="n">
        <v>45505</v>
      </c>
      <c r="D74" t="inlineStr">
        <is>
          <t>NORRBOTTENS LÄN</t>
        </is>
      </c>
      <c r="E74" t="inlineStr">
        <is>
          <t>ÄLVSBYN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63602-2019</t>
        </is>
      </c>
      <c r="B75" s="1" t="n">
        <v>43789</v>
      </c>
      <c r="C75" s="1" t="n">
        <v>45505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65482-2019</t>
        </is>
      </c>
      <c r="B76" s="1" t="n">
        <v>43803</v>
      </c>
      <c r="C76" s="1" t="n">
        <v>45505</v>
      </c>
      <c r="D76" t="inlineStr">
        <is>
          <t>NORRBOTTENS LÄN</t>
        </is>
      </c>
      <c r="E76" t="inlineStr">
        <is>
          <t>ÄLVSBYN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66403-2019</t>
        </is>
      </c>
      <c r="B77" s="1" t="n">
        <v>43809</v>
      </c>
      <c r="C77" s="1" t="n">
        <v>45505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68991-2019</t>
        </is>
      </c>
      <c r="B78" s="1" t="n">
        <v>43818</v>
      </c>
      <c r="C78" s="1" t="n">
        <v>45505</v>
      </c>
      <c r="D78" t="inlineStr">
        <is>
          <t>NORRBOTTENS LÄN</t>
        </is>
      </c>
      <c r="E78" t="inlineStr">
        <is>
          <t>ÄLVSBYN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68670-2019</t>
        </is>
      </c>
      <c r="B79" s="1" t="n">
        <v>43818</v>
      </c>
      <c r="C79" s="1" t="n">
        <v>45505</v>
      </c>
      <c r="D79" t="inlineStr">
        <is>
          <t>NORRBOTTENS LÄN</t>
        </is>
      </c>
      <c r="E79" t="inlineStr">
        <is>
          <t>ÄLVSBYN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68498-2019</t>
        </is>
      </c>
      <c r="B80" s="1" t="n">
        <v>43818</v>
      </c>
      <c r="C80" s="1" t="n">
        <v>45505</v>
      </c>
      <c r="D80" t="inlineStr">
        <is>
          <t>NORRBOTTENS LÄN</t>
        </is>
      </c>
      <c r="E80" t="inlineStr">
        <is>
          <t>ÄLVSBYN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1661-2020</t>
        </is>
      </c>
      <c r="B81" s="1" t="n">
        <v>43832</v>
      </c>
      <c r="C81" s="1" t="n">
        <v>45505</v>
      </c>
      <c r="D81" t="inlineStr">
        <is>
          <t>NORRBOTTENS LÄN</t>
        </is>
      </c>
      <c r="E81" t="inlineStr">
        <is>
          <t>ÄLVSBYN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2133-2020</t>
        </is>
      </c>
      <c r="B82" s="1" t="n">
        <v>43839</v>
      </c>
      <c r="C82" s="1" t="n">
        <v>45505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2129-2020</t>
        </is>
      </c>
      <c r="B83" s="1" t="n">
        <v>43839</v>
      </c>
      <c r="C83" s="1" t="n">
        <v>45505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7019-2020</t>
        </is>
      </c>
      <c r="B84" s="1" t="n">
        <v>43868</v>
      </c>
      <c r="C84" s="1" t="n">
        <v>45505</v>
      </c>
      <c r="D84" t="inlineStr">
        <is>
          <t>NORRBOTTENS LÄN</t>
        </is>
      </c>
      <c r="E84" t="inlineStr">
        <is>
          <t>ÄLVSBYN</t>
        </is>
      </c>
      <c r="F84" t="inlineStr">
        <is>
          <t>Övriga Aktiebolag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16705-2020</t>
        </is>
      </c>
      <c r="B85" s="1" t="n">
        <v>43908</v>
      </c>
      <c r="C85" s="1" t="n">
        <v>45505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17786-2020</t>
        </is>
      </c>
      <c r="B86" s="1" t="n">
        <v>43922</v>
      </c>
      <c r="C86" s="1" t="n">
        <v>45505</v>
      </c>
      <c r="D86" t="inlineStr">
        <is>
          <t>NORRBOTTENS LÄN</t>
        </is>
      </c>
      <c r="E86" t="inlineStr">
        <is>
          <t>ÄLVSBYN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18866-2020</t>
        </is>
      </c>
      <c r="B87" s="1" t="n">
        <v>43930</v>
      </c>
      <c r="C87" s="1" t="n">
        <v>45505</v>
      </c>
      <c r="D87" t="inlineStr">
        <is>
          <t>NORRBOTTENS LÄN</t>
        </is>
      </c>
      <c r="E87" t="inlineStr">
        <is>
          <t>ÄLVSBYN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22470-2020</t>
        </is>
      </c>
      <c r="B88" s="1" t="n">
        <v>43963</v>
      </c>
      <c r="C88" s="1" t="n">
        <v>45505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31241-2020</t>
        </is>
      </c>
      <c r="B89" s="1" t="n">
        <v>44012</v>
      </c>
      <c r="C89" s="1" t="n">
        <v>45505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35323-2020</t>
        </is>
      </c>
      <c r="B90" s="1" t="n">
        <v>44041</v>
      </c>
      <c r="C90" s="1" t="n">
        <v>45505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37955-2020</t>
        </is>
      </c>
      <c r="B91" s="1" t="n">
        <v>44057</v>
      </c>
      <c r="C91" s="1" t="n">
        <v>45505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44523-2020</t>
        </is>
      </c>
      <c r="B92" s="1" t="n">
        <v>44085</v>
      </c>
      <c r="C92" s="1" t="n">
        <v>45505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44685-2020</t>
        </is>
      </c>
      <c r="B93" s="1" t="n">
        <v>44085</v>
      </c>
      <c r="C93" s="1" t="n">
        <v>45505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44682-2020</t>
        </is>
      </c>
      <c r="B94" s="1" t="n">
        <v>44085</v>
      </c>
      <c r="C94" s="1" t="n">
        <v>45505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44716-2020</t>
        </is>
      </c>
      <c r="B95" s="1" t="n">
        <v>44085</v>
      </c>
      <c r="C95" s="1" t="n">
        <v>45505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44756-2020</t>
        </is>
      </c>
      <c r="B96" s="1" t="n">
        <v>44085</v>
      </c>
      <c r="C96" s="1" t="n">
        <v>45505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44758-2020</t>
        </is>
      </c>
      <c r="B97" s="1" t="n">
        <v>44085</v>
      </c>
      <c r="C97" s="1" t="n">
        <v>45505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45627-2020</t>
        </is>
      </c>
      <c r="B98" s="1" t="n">
        <v>44090</v>
      </c>
      <c r="C98" s="1" t="n">
        <v>45505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46299-2020</t>
        </is>
      </c>
      <c r="B99" s="1" t="n">
        <v>44092</v>
      </c>
      <c r="C99" s="1" t="n">
        <v>45505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49319-2020</t>
        </is>
      </c>
      <c r="B100" s="1" t="n">
        <v>44102</v>
      </c>
      <c r="C100" s="1" t="n">
        <v>45505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49730-2020</t>
        </is>
      </c>
      <c r="B101" s="1" t="n">
        <v>44103</v>
      </c>
      <c r="C101" s="1" t="n">
        <v>45505</v>
      </c>
      <c r="D101" t="inlineStr">
        <is>
          <t>NORRBOTTENS LÄN</t>
        </is>
      </c>
      <c r="E101" t="inlineStr">
        <is>
          <t>ÄLVSBYN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48971-2020</t>
        </is>
      </c>
      <c r="B102" s="1" t="n">
        <v>44105</v>
      </c>
      <c r="C102" s="1" t="n">
        <v>45505</v>
      </c>
      <c r="D102" t="inlineStr">
        <is>
          <t>NORRBOTTENS LÄN</t>
        </is>
      </c>
      <c r="E102" t="inlineStr">
        <is>
          <t>ÄLVSBYN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54418-2020</t>
        </is>
      </c>
      <c r="B103" s="1" t="n">
        <v>44125</v>
      </c>
      <c r="C103" s="1" t="n">
        <v>45505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54412-2020</t>
        </is>
      </c>
      <c r="B104" s="1" t="n">
        <v>44125</v>
      </c>
      <c r="C104" s="1" t="n">
        <v>45505</v>
      </c>
      <c r="D104" t="inlineStr">
        <is>
          <t>NORRBOTTENS LÄN</t>
        </is>
      </c>
      <c r="E104" t="inlineStr">
        <is>
          <t>ÄLVSBYN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55873-2020</t>
        </is>
      </c>
      <c r="B105" s="1" t="n">
        <v>44131</v>
      </c>
      <c r="C105" s="1" t="n">
        <v>45505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59153-2020</t>
        </is>
      </c>
      <c r="B106" s="1" t="n">
        <v>44147</v>
      </c>
      <c r="C106" s="1" t="n">
        <v>45505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59464-2020</t>
        </is>
      </c>
      <c r="B107" s="1" t="n">
        <v>44148</v>
      </c>
      <c r="C107" s="1" t="n">
        <v>45505</v>
      </c>
      <c r="D107" t="inlineStr">
        <is>
          <t>NORRBOTTENS LÄN</t>
        </is>
      </c>
      <c r="E107" t="inlineStr">
        <is>
          <t>ÄLVSBYN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66296-2020</t>
        </is>
      </c>
      <c r="B108" s="1" t="n">
        <v>44174</v>
      </c>
      <c r="C108" s="1" t="n">
        <v>45505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5455-2021</t>
        </is>
      </c>
      <c r="B109" s="1" t="n">
        <v>44229</v>
      </c>
      <c r="C109" s="1" t="n">
        <v>45505</v>
      </c>
      <c r="D109" t="inlineStr">
        <is>
          <t>NORRBOTTENS LÄN</t>
        </is>
      </c>
      <c r="E109" t="inlineStr">
        <is>
          <t>ÄLVSBYN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5410-2021</t>
        </is>
      </c>
      <c r="B110" s="1" t="n">
        <v>44229</v>
      </c>
      <c r="C110" s="1" t="n">
        <v>45505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8847-2021</t>
        </is>
      </c>
      <c r="B111" s="1" t="n">
        <v>44246</v>
      </c>
      <c r="C111" s="1" t="n">
        <v>45505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12950-2021</t>
        </is>
      </c>
      <c r="B112" s="1" t="n">
        <v>44271</v>
      </c>
      <c r="C112" s="1" t="n">
        <v>45505</v>
      </c>
      <c r="D112" t="inlineStr">
        <is>
          <t>NORRBOTTENS LÄN</t>
        </is>
      </c>
      <c r="E112" t="inlineStr">
        <is>
          <t>ÄLVSBYN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14866-2021</t>
        </is>
      </c>
      <c r="B113" s="1" t="n">
        <v>44280</v>
      </c>
      <c r="C113" s="1" t="n">
        <v>45505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14863-2021</t>
        </is>
      </c>
      <c r="B114" s="1" t="n">
        <v>44280</v>
      </c>
      <c r="C114" s="1" t="n">
        <v>45505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14864-2021</t>
        </is>
      </c>
      <c r="B115" s="1" t="n">
        <v>44280</v>
      </c>
      <c r="C115" s="1" t="n">
        <v>45505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17784-2021</t>
        </is>
      </c>
      <c r="B116" s="1" t="n">
        <v>44300</v>
      </c>
      <c r="C116" s="1" t="n">
        <v>45505</v>
      </c>
      <c r="D116" t="inlineStr">
        <is>
          <t>NORRBOTTENS LÄN</t>
        </is>
      </c>
      <c r="E116" t="inlineStr">
        <is>
          <t>ÄLVSBYN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19294-2021</t>
        </is>
      </c>
      <c r="B117" s="1" t="n">
        <v>44308</v>
      </c>
      <c r="C117" s="1" t="n">
        <v>45505</v>
      </c>
      <c r="D117" t="inlineStr">
        <is>
          <t>NORRBOTTENS LÄN</t>
        </is>
      </c>
      <c r="E117" t="inlineStr">
        <is>
          <t>ÄLVSBYN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19270-2021</t>
        </is>
      </c>
      <c r="B118" s="1" t="n">
        <v>44308</v>
      </c>
      <c r="C118" s="1" t="n">
        <v>45505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23063-2021</t>
        </is>
      </c>
      <c r="B119" s="1" t="n">
        <v>44329</v>
      </c>
      <c r="C119" s="1" t="n">
        <v>45505</v>
      </c>
      <c r="D119" t="inlineStr">
        <is>
          <t>NORRBOTTENS LÄN</t>
        </is>
      </c>
      <c r="E119" t="inlineStr">
        <is>
          <t>ÄLVSBYN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24990-2021</t>
        </is>
      </c>
      <c r="B120" s="1" t="n">
        <v>44341</v>
      </c>
      <c r="C120" s="1" t="n">
        <v>45505</v>
      </c>
      <c r="D120" t="inlineStr">
        <is>
          <t>NORRBOTTENS LÄN</t>
        </is>
      </c>
      <c r="E120" t="inlineStr">
        <is>
          <t>ÄLVSBYN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25360-2021</t>
        </is>
      </c>
      <c r="B121" s="1" t="n">
        <v>44342</v>
      </c>
      <c r="C121" s="1" t="n">
        <v>45505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33823-2021</t>
        </is>
      </c>
      <c r="B122" s="1" t="n">
        <v>44378</v>
      </c>
      <c r="C122" s="1" t="n">
        <v>45505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41386-2021</t>
        </is>
      </c>
      <c r="B123" s="1" t="n">
        <v>44424</v>
      </c>
      <c r="C123" s="1" t="n">
        <v>45505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43005-2021</t>
        </is>
      </c>
      <c r="B124" s="1" t="n">
        <v>44431</v>
      </c>
      <c r="C124" s="1" t="n">
        <v>45505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45603-2021</t>
        </is>
      </c>
      <c r="B125" s="1" t="n">
        <v>44440</v>
      </c>
      <c r="C125" s="1" t="n">
        <v>45505</v>
      </c>
      <c r="D125" t="inlineStr">
        <is>
          <t>NORRBOTTENS LÄN</t>
        </is>
      </c>
      <c r="E125" t="inlineStr">
        <is>
          <t>ÄLVSBYN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46881-2021</t>
        </is>
      </c>
      <c r="B126" s="1" t="n">
        <v>44446</v>
      </c>
      <c r="C126" s="1" t="n">
        <v>45505</v>
      </c>
      <c r="D126" t="inlineStr">
        <is>
          <t>NORRBOTTENS LÄN</t>
        </is>
      </c>
      <c r="E126" t="inlineStr">
        <is>
          <t>ÄLVSBYN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47046-2021</t>
        </is>
      </c>
      <c r="B127" s="1" t="n">
        <v>44446</v>
      </c>
      <c r="C127" s="1" t="n">
        <v>45505</v>
      </c>
      <c r="D127" t="inlineStr">
        <is>
          <t>NORRBOTTENS LÄN</t>
        </is>
      </c>
      <c r="E127" t="inlineStr">
        <is>
          <t>ÄLVSBYN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47695-2021</t>
        </is>
      </c>
      <c r="B128" s="1" t="n">
        <v>44448</v>
      </c>
      <c r="C128" s="1" t="n">
        <v>45505</v>
      </c>
      <c r="D128" t="inlineStr">
        <is>
          <t>NORRBOTTENS LÄN</t>
        </is>
      </c>
      <c r="E128" t="inlineStr">
        <is>
          <t>ÄLVSBYN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48103-2021</t>
        </is>
      </c>
      <c r="B129" s="1" t="n">
        <v>44449</v>
      </c>
      <c r="C129" s="1" t="n">
        <v>45505</v>
      </c>
      <c r="D129" t="inlineStr">
        <is>
          <t>NORRBOTTENS LÄN</t>
        </is>
      </c>
      <c r="E129" t="inlineStr">
        <is>
          <t>ÄLVSBYN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49773-2021</t>
        </is>
      </c>
      <c r="B130" s="1" t="n">
        <v>44455</v>
      </c>
      <c r="C130" s="1" t="n">
        <v>45505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49843-2021</t>
        </is>
      </c>
      <c r="B131" s="1" t="n">
        <v>44455</v>
      </c>
      <c r="C131" s="1" t="n">
        <v>45505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50917-2021</t>
        </is>
      </c>
      <c r="B132" s="1" t="n">
        <v>44460</v>
      </c>
      <c r="C132" s="1" t="n">
        <v>45505</v>
      </c>
      <c r="D132" t="inlineStr">
        <is>
          <t>NORRBOTTENS LÄN</t>
        </is>
      </c>
      <c r="E132" t="inlineStr">
        <is>
          <t>ÄLVSBYN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50746-2021</t>
        </is>
      </c>
      <c r="B133" s="1" t="n">
        <v>44460</v>
      </c>
      <c r="C133" s="1" t="n">
        <v>45505</v>
      </c>
      <c r="D133" t="inlineStr">
        <is>
          <t>NORRBOTTENS LÄN</t>
        </is>
      </c>
      <c r="E133" t="inlineStr">
        <is>
          <t>ÄLVSBYN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50924-2021</t>
        </is>
      </c>
      <c r="B134" s="1" t="n">
        <v>44460</v>
      </c>
      <c r="C134" s="1" t="n">
        <v>45505</v>
      </c>
      <c r="D134" t="inlineStr">
        <is>
          <t>NORRBOTTENS LÄN</t>
        </is>
      </c>
      <c r="E134" t="inlineStr">
        <is>
          <t>ÄLVSBYN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50744-2021</t>
        </is>
      </c>
      <c r="B135" s="1" t="n">
        <v>44460</v>
      </c>
      <c r="C135" s="1" t="n">
        <v>45505</v>
      </c>
      <c r="D135" t="inlineStr">
        <is>
          <t>NORRBOTTENS LÄN</t>
        </is>
      </c>
      <c r="E135" t="inlineStr">
        <is>
          <t>ÄLVSBYN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51540-2021</t>
        </is>
      </c>
      <c r="B136" s="1" t="n">
        <v>44462</v>
      </c>
      <c r="C136" s="1" t="n">
        <v>45505</v>
      </c>
      <c r="D136" t="inlineStr">
        <is>
          <t>NORRBOTTENS LÄN</t>
        </is>
      </c>
      <c r="E136" t="inlineStr">
        <is>
          <t>ÄLVSBYN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51829-2021</t>
        </is>
      </c>
      <c r="B137" s="1" t="n">
        <v>44462</v>
      </c>
      <c r="C137" s="1" t="n">
        <v>45505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51825-2021</t>
        </is>
      </c>
      <c r="B138" s="1" t="n">
        <v>44462</v>
      </c>
      <c r="C138" s="1" t="n">
        <v>45505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51912-2021</t>
        </is>
      </c>
      <c r="B139" s="1" t="n">
        <v>44462</v>
      </c>
      <c r="C139" s="1" t="n">
        <v>45505</v>
      </c>
      <c r="D139" t="inlineStr">
        <is>
          <t>NORRBOTTENS LÄN</t>
        </is>
      </c>
      <c r="E139" t="inlineStr">
        <is>
          <t>ÄLVSBYN</t>
        </is>
      </c>
      <c r="G139" t="n">
        <v>26.5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51993-2021</t>
        </is>
      </c>
      <c r="B140" s="1" t="n">
        <v>44463</v>
      </c>
      <c r="C140" s="1" t="n">
        <v>45505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51998-2021</t>
        </is>
      </c>
      <c r="B141" s="1" t="n">
        <v>44463</v>
      </c>
      <c r="C141" s="1" t="n">
        <v>45505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52253-2021</t>
        </is>
      </c>
      <c r="B142" s="1" t="n">
        <v>44463</v>
      </c>
      <c r="C142" s="1" t="n">
        <v>45505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52716-2021</t>
        </is>
      </c>
      <c r="B143" s="1" t="n">
        <v>44466</v>
      </c>
      <c r="C143" s="1" t="n">
        <v>45505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54804-2021</t>
        </is>
      </c>
      <c r="B144" s="1" t="n">
        <v>44473</v>
      </c>
      <c r="C144" s="1" t="n">
        <v>45505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54803-2021</t>
        </is>
      </c>
      <c r="B145" s="1" t="n">
        <v>44474</v>
      </c>
      <c r="C145" s="1" t="n">
        <v>45505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55775-2021</t>
        </is>
      </c>
      <c r="B146" s="1" t="n">
        <v>44476</v>
      </c>
      <c r="C146" s="1" t="n">
        <v>45505</v>
      </c>
      <c r="D146" t="inlineStr">
        <is>
          <t>NORRBOTTENS LÄN</t>
        </is>
      </c>
      <c r="E146" t="inlineStr">
        <is>
          <t>ÄLVSBYN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57816-2021</t>
        </is>
      </c>
      <c r="B147" s="1" t="n">
        <v>44484</v>
      </c>
      <c r="C147" s="1" t="n">
        <v>45505</v>
      </c>
      <c r="D147" t="inlineStr">
        <is>
          <t>NORRBOTTENS LÄN</t>
        </is>
      </c>
      <c r="E147" t="inlineStr">
        <is>
          <t>ÄLVSBYN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58532-2021</t>
        </is>
      </c>
      <c r="B148" s="1" t="n">
        <v>44488</v>
      </c>
      <c r="C148" s="1" t="n">
        <v>45505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59483-2021</t>
        </is>
      </c>
      <c r="B149" s="1" t="n">
        <v>44491</v>
      </c>
      <c r="C149" s="1" t="n">
        <v>45505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59487-2021</t>
        </is>
      </c>
      <c r="B150" s="1" t="n">
        <v>44491</v>
      </c>
      <c r="C150" s="1" t="n">
        <v>45505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59553-2021</t>
        </is>
      </c>
      <c r="B151" s="1" t="n">
        <v>44491</v>
      </c>
      <c r="C151" s="1" t="n">
        <v>45505</v>
      </c>
      <c r="D151" t="inlineStr">
        <is>
          <t>NORRBOTTENS LÄN</t>
        </is>
      </c>
      <c r="E151" t="inlineStr">
        <is>
          <t>ÄLVSBYN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59742-2021</t>
        </is>
      </c>
      <c r="B152" s="1" t="n">
        <v>44494</v>
      </c>
      <c r="C152" s="1" t="n">
        <v>45505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60030-2021</t>
        </is>
      </c>
      <c r="B153" s="1" t="n">
        <v>44494</v>
      </c>
      <c r="C153" s="1" t="n">
        <v>45505</v>
      </c>
      <c r="D153" t="inlineStr">
        <is>
          <t>NORRBOTTENS LÄN</t>
        </is>
      </c>
      <c r="E153" t="inlineStr">
        <is>
          <t>ÄLVSBYN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65410-2021</t>
        </is>
      </c>
      <c r="B154" s="1" t="n">
        <v>44515</v>
      </c>
      <c r="C154" s="1" t="n">
        <v>45505</v>
      </c>
      <c r="D154" t="inlineStr">
        <is>
          <t>NORRBOTTENS LÄN</t>
        </is>
      </c>
      <c r="E154" t="inlineStr">
        <is>
          <t>ÄLVSBYN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67103-2021</t>
        </is>
      </c>
      <c r="B155" s="1" t="n">
        <v>44522</v>
      </c>
      <c r="C155" s="1" t="n">
        <v>45505</v>
      </c>
      <c r="D155" t="inlineStr">
        <is>
          <t>NORRBOTTENS LÄN</t>
        </is>
      </c>
      <c r="E155" t="inlineStr">
        <is>
          <t>ÄLVSBYN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67106-2021</t>
        </is>
      </c>
      <c r="B156" s="1" t="n">
        <v>44522</v>
      </c>
      <c r="C156" s="1" t="n">
        <v>45505</v>
      </c>
      <c r="D156" t="inlineStr">
        <is>
          <t>NORRBOTTENS LÄN</t>
        </is>
      </c>
      <c r="E156" t="inlineStr">
        <is>
          <t>ÄLVSBYN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69314-2021</t>
        </is>
      </c>
      <c r="B157" s="1" t="n">
        <v>44531</v>
      </c>
      <c r="C157" s="1" t="n">
        <v>45505</v>
      </c>
      <c r="D157" t="inlineStr">
        <is>
          <t>NORRBOTTENS LÄN</t>
        </is>
      </c>
      <c r="E157" t="inlineStr">
        <is>
          <t>ÄLVSBYN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71925-2021</t>
        </is>
      </c>
      <c r="B158" s="1" t="n">
        <v>44543</v>
      </c>
      <c r="C158" s="1" t="n">
        <v>45505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71923-2021</t>
        </is>
      </c>
      <c r="B159" s="1" t="n">
        <v>44543</v>
      </c>
      <c r="C159" s="1" t="n">
        <v>45505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71939-2021</t>
        </is>
      </c>
      <c r="B160" s="1" t="n">
        <v>44543</v>
      </c>
      <c r="C160" s="1" t="n">
        <v>45505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72951-2021</t>
        </is>
      </c>
      <c r="B161" s="1" t="n">
        <v>44547</v>
      </c>
      <c r="C161" s="1" t="n">
        <v>45505</v>
      </c>
      <c r="D161" t="inlineStr">
        <is>
          <t>NORRBOTTENS LÄN</t>
        </is>
      </c>
      <c r="E161" t="inlineStr">
        <is>
          <t>ÄLVSBYN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73589-2021</t>
        </is>
      </c>
      <c r="B162" s="1" t="n">
        <v>44552</v>
      </c>
      <c r="C162" s="1" t="n">
        <v>45505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73648-2021</t>
        </is>
      </c>
      <c r="B163" s="1" t="n">
        <v>44552</v>
      </c>
      <c r="C163" s="1" t="n">
        <v>45505</v>
      </c>
      <c r="D163" t="inlineStr">
        <is>
          <t>NORRBOTTENS LÄN</t>
        </is>
      </c>
      <c r="E163" t="inlineStr">
        <is>
          <t>ÄLVSBYN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73616-2021</t>
        </is>
      </c>
      <c r="B164" s="1" t="n">
        <v>44552</v>
      </c>
      <c r="C164" s="1" t="n">
        <v>45505</v>
      </c>
      <c r="D164" t="inlineStr">
        <is>
          <t>NORRBOTTENS LÄN</t>
        </is>
      </c>
      <c r="E164" t="inlineStr">
        <is>
          <t>ÄLVSBYN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73774-2021</t>
        </is>
      </c>
      <c r="B165" s="1" t="n">
        <v>44552</v>
      </c>
      <c r="C165" s="1" t="n">
        <v>45505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2751-2022</t>
        </is>
      </c>
      <c r="B166" s="1" t="n">
        <v>44580</v>
      </c>
      <c r="C166" s="1" t="n">
        <v>45505</v>
      </c>
      <c r="D166" t="inlineStr">
        <is>
          <t>NORRBOTTENS LÄN</t>
        </is>
      </c>
      <c r="E166" t="inlineStr">
        <is>
          <t>ÄLVSBYN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6028-2022</t>
        </is>
      </c>
      <c r="B167" s="1" t="n">
        <v>44599</v>
      </c>
      <c r="C167" s="1" t="n">
        <v>45505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6820-2022</t>
        </is>
      </c>
      <c r="B168" s="1" t="n">
        <v>44602</v>
      </c>
      <c r="C168" s="1" t="n">
        <v>45505</v>
      </c>
      <c r="D168" t="inlineStr">
        <is>
          <t>NORRBOTTENS LÄN</t>
        </is>
      </c>
      <c r="E168" t="inlineStr">
        <is>
          <t>ÄLVSBYN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6831-2022</t>
        </is>
      </c>
      <c r="B169" s="1" t="n">
        <v>44602</v>
      </c>
      <c r="C169" s="1" t="n">
        <v>45505</v>
      </c>
      <c r="D169" t="inlineStr">
        <is>
          <t>NORRBOTTENS LÄN</t>
        </is>
      </c>
      <c r="E169" t="inlineStr">
        <is>
          <t>ÄLVSBYN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9333-2022</t>
        </is>
      </c>
      <c r="B170" s="1" t="n">
        <v>44616</v>
      </c>
      <c r="C170" s="1" t="n">
        <v>45505</v>
      </c>
      <c r="D170" t="inlineStr">
        <is>
          <t>NORRBOTTENS LÄN</t>
        </is>
      </c>
      <c r="E170" t="inlineStr">
        <is>
          <t>ÄLVSBYN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9643-2022</t>
        </is>
      </c>
      <c r="B171" s="1" t="n">
        <v>44617</v>
      </c>
      <c r="C171" s="1" t="n">
        <v>45505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9623-2022</t>
        </is>
      </c>
      <c r="B172" s="1" t="n">
        <v>44617</v>
      </c>
      <c r="C172" s="1" t="n">
        <v>45505</v>
      </c>
      <c r="D172" t="inlineStr">
        <is>
          <t>NORRBOTTENS LÄN</t>
        </is>
      </c>
      <c r="E172" t="inlineStr">
        <is>
          <t>ÄLVSBYN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9631-2022</t>
        </is>
      </c>
      <c r="B173" s="1" t="n">
        <v>44617</v>
      </c>
      <c r="C173" s="1" t="n">
        <v>45505</v>
      </c>
      <c r="D173" t="inlineStr">
        <is>
          <t>NORRBOTTENS LÄN</t>
        </is>
      </c>
      <c r="E173" t="inlineStr">
        <is>
          <t>ÄLVSBYN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9618-2022</t>
        </is>
      </c>
      <c r="B174" s="1" t="n">
        <v>44617</v>
      </c>
      <c r="C174" s="1" t="n">
        <v>45505</v>
      </c>
      <c r="D174" t="inlineStr">
        <is>
          <t>NORRBOTTENS LÄN</t>
        </is>
      </c>
      <c r="E174" t="inlineStr">
        <is>
          <t>ÄLVSBYN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9634-2022</t>
        </is>
      </c>
      <c r="B175" s="1" t="n">
        <v>44617</v>
      </c>
      <c r="C175" s="1" t="n">
        <v>45505</v>
      </c>
      <c r="D175" t="inlineStr">
        <is>
          <t>NORRBOTTENS LÄN</t>
        </is>
      </c>
      <c r="E175" t="inlineStr">
        <is>
          <t>ÄLVSBYN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10812-2022</t>
        </is>
      </c>
      <c r="B176" s="1" t="n">
        <v>44627</v>
      </c>
      <c r="C176" s="1" t="n">
        <v>45505</v>
      </c>
      <c r="D176" t="inlineStr">
        <is>
          <t>NORRBOTTENS LÄN</t>
        </is>
      </c>
      <c r="E176" t="inlineStr">
        <is>
          <t>ÄLVSBYN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11477-2022</t>
        </is>
      </c>
      <c r="B177" s="1" t="n">
        <v>44630</v>
      </c>
      <c r="C177" s="1" t="n">
        <v>45505</v>
      </c>
      <c r="D177" t="inlineStr">
        <is>
          <t>NORRBOTTENS LÄN</t>
        </is>
      </c>
      <c r="E177" t="inlineStr">
        <is>
          <t>ÄLVSBYN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12156-2022</t>
        </is>
      </c>
      <c r="B178" s="1" t="n">
        <v>44636</v>
      </c>
      <c r="C178" s="1" t="n">
        <v>45505</v>
      </c>
      <c r="D178" t="inlineStr">
        <is>
          <t>NORRBOTTENS LÄN</t>
        </is>
      </c>
      <c r="E178" t="inlineStr">
        <is>
          <t>ÄLVSBYN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13456-2022</t>
        </is>
      </c>
      <c r="B179" s="1" t="n">
        <v>44645</v>
      </c>
      <c r="C179" s="1" t="n">
        <v>45505</v>
      </c>
      <c r="D179" t="inlineStr">
        <is>
          <t>NORRBOTTENS LÄN</t>
        </is>
      </c>
      <c r="E179" t="inlineStr">
        <is>
          <t>ÄLVSBYN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15526-2022</t>
        </is>
      </c>
      <c r="B180" s="1" t="n">
        <v>44662</v>
      </c>
      <c r="C180" s="1" t="n">
        <v>45505</v>
      </c>
      <c r="D180" t="inlineStr">
        <is>
          <t>NORRBOTTENS LÄN</t>
        </is>
      </c>
      <c r="E180" t="inlineStr">
        <is>
          <t>ÄLVSBYN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17094-2022</t>
        </is>
      </c>
      <c r="B181" s="1" t="n">
        <v>44677</v>
      </c>
      <c r="C181" s="1" t="n">
        <v>45505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18268-2022</t>
        </is>
      </c>
      <c r="B182" s="1" t="n">
        <v>44685</v>
      </c>
      <c r="C182" s="1" t="n">
        <v>45505</v>
      </c>
      <c r="D182" t="inlineStr">
        <is>
          <t>NORRBOTTENS LÄN</t>
        </is>
      </c>
      <c r="E182" t="inlineStr">
        <is>
          <t>ÄLVSBYN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18841-2022</t>
        </is>
      </c>
      <c r="B183" s="1" t="n">
        <v>44690</v>
      </c>
      <c r="C183" s="1" t="n">
        <v>45505</v>
      </c>
      <c r="D183" t="inlineStr">
        <is>
          <t>NORRBOTTENS LÄN</t>
        </is>
      </c>
      <c r="E183" t="inlineStr">
        <is>
          <t>ÄLVSBYN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19459-2022</t>
        </is>
      </c>
      <c r="B184" s="1" t="n">
        <v>44693</v>
      </c>
      <c r="C184" s="1" t="n">
        <v>45505</v>
      </c>
      <c r="D184" t="inlineStr">
        <is>
          <t>NORRBOTTENS LÄN</t>
        </is>
      </c>
      <c r="E184" t="inlineStr">
        <is>
          <t>ÄLVSBYN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19746-2022</t>
        </is>
      </c>
      <c r="B185" s="1" t="n">
        <v>44694</v>
      </c>
      <c r="C185" s="1" t="n">
        <v>45505</v>
      </c>
      <c r="D185" t="inlineStr">
        <is>
          <t>NORRBOTTENS LÄN</t>
        </is>
      </c>
      <c r="E185" t="inlineStr">
        <is>
          <t>ÄLVSBYN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19747-2022</t>
        </is>
      </c>
      <c r="B186" s="1" t="n">
        <v>44694</v>
      </c>
      <c r="C186" s="1" t="n">
        <v>45505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20810-2022</t>
        </is>
      </c>
      <c r="B187" s="1" t="n">
        <v>44701</v>
      </c>
      <c r="C187" s="1" t="n">
        <v>45505</v>
      </c>
      <c r="D187" t="inlineStr">
        <is>
          <t>NORRBOTTENS LÄN</t>
        </is>
      </c>
      <c r="E187" t="inlineStr">
        <is>
          <t>ÄLVSBYN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21313-2022</t>
        </is>
      </c>
      <c r="B188" s="1" t="n">
        <v>44705</v>
      </c>
      <c r="C188" s="1" t="n">
        <v>45505</v>
      </c>
      <c r="D188" t="inlineStr">
        <is>
          <t>NORRBOTTENS LÄN</t>
        </is>
      </c>
      <c r="E188" t="inlineStr">
        <is>
          <t>ÄLVSBYN</t>
        </is>
      </c>
      <c r="G188" t="n">
        <v>21.5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22098-2022</t>
        </is>
      </c>
      <c r="B189" s="1" t="n">
        <v>44711</v>
      </c>
      <c r="C189" s="1" t="n">
        <v>45505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23536-2022</t>
        </is>
      </c>
      <c r="B190" s="1" t="n">
        <v>44721</v>
      </c>
      <c r="C190" s="1" t="n">
        <v>45505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23581-2022</t>
        </is>
      </c>
      <c r="B191" s="1" t="n">
        <v>44721</v>
      </c>
      <c r="C191" s="1" t="n">
        <v>45505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24665-2022</t>
        </is>
      </c>
      <c r="B192" s="1" t="n">
        <v>44727</v>
      </c>
      <c r="C192" s="1" t="n">
        <v>45505</v>
      </c>
      <c r="D192" t="inlineStr">
        <is>
          <t>NORRBOTTENS LÄN</t>
        </is>
      </c>
      <c r="E192" t="inlineStr">
        <is>
          <t>ÄLVSBYN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24760-2022</t>
        </is>
      </c>
      <c r="B193" s="1" t="n">
        <v>44728</v>
      </c>
      <c r="C193" s="1" t="n">
        <v>45505</v>
      </c>
      <c r="D193" t="inlineStr">
        <is>
          <t>NORRBOTTENS LÄN</t>
        </is>
      </c>
      <c r="E193" t="inlineStr">
        <is>
          <t>ÄLVSBYN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25455-2022</t>
        </is>
      </c>
      <c r="B194" s="1" t="n">
        <v>44732</v>
      </c>
      <c r="C194" s="1" t="n">
        <v>45505</v>
      </c>
      <c r="D194" t="inlineStr">
        <is>
          <t>NORRBOTTENS LÄN</t>
        </is>
      </c>
      <c r="E194" t="inlineStr">
        <is>
          <t>ÄLVSBYN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25449-2022</t>
        </is>
      </c>
      <c r="B195" s="1" t="n">
        <v>44732</v>
      </c>
      <c r="C195" s="1" t="n">
        <v>45505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26125-2022</t>
        </is>
      </c>
      <c r="B196" s="1" t="n">
        <v>44735</v>
      </c>
      <c r="C196" s="1" t="n">
        <v>45505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26406-2022</t>
        </is>
      </c>
      <c r="B197" s="1" t="n">
        <v>44736</v>
      </c>
      <c r="C197" s="1" t="n">
        <v>45505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26608-2022</t>
        </is>
      </c>
      <c r="B198" s="1" t="n">
        <v>44739</v>
      </c>
      <c r="C198" s="1" t="n">
        <v>45505</v>
      </c>
      <c r="D198" t="inlineStr">
        <is>
          <t>NORRBOTTENS LÄN</t>
        </is>
      </c>
      <c r="E198" t="inlineStr">
        <is>
          <t>ÄLVSBYN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26610-2022</t>
        </is>
      </c>
      <c r="B199" s="1" t="n">
        <v>44739</v>
      </c>
      <c r="C199" s="1" t="n">
        <v>45505</v>
      </c>
      <c r="D199" t="inlineStr">
        <is>
          <t>NORRBOTTENS LÄN</t>
        </is>
      </c>
      <c r="E199" t="inlineStr">
        <is>
          <t>ÄLVSBYN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26741-2022</t>
        </is>
      </c>
      <c r="B200" s="1" t="n">
        <v>44739</v>
      </c>
      <c r="C200" s="1" t="n">
        <v>45505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26579-2022</t>
        </is>
      </c>
      <c r="B201" s="1" t="n">
        <v>44739</v>
      </c>
      <c r="C201" s="1" t="n">
        <v>45505</v>
      </c>
      <c r="D201" t="inlineStr">
        <is>
          <t>NORRBOTTENS LÄN</t>
        </is>
      </c>
      <c r="E201" t="inlineStr">
        <is>
          <t>ÄLVSBYN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26740-2022</t>
        </is>
      </c>
      <c r="B202" s="1" t="n">
        <v>44739</v>
      </c>
      <c r="C202" s="1" t="n">
        <v>45505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27202-2022</t>
        </is>
      </c>
      <c r="B203" s="1" t="n">
        <v>44741</v>
      </c>
      <c r="C203" s="1" t="n">
        <v>45505</v>
      </c>
      <c r="D203" t="inlineStr">
        <is>
          <t>NORRBOTTENS LÄN</t>
        </is>
      </c>
      <c r="E203" t="inlineStr">
        <is>
          <t>ÄLVSBYN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27277-2022</t>
        </is>
      </c>
      <c r="B204" s="1" t="n">
        <v>44742</v>
      </c>
      <c r="C204" s="1" t="n">
        <v>45505</v>
      </c>
      <c r="D204" t="inlineStr">
        <is>
          <t>NORRBOTTENS LÄN</t>
        </is>
      </c>
      <c r="E204" t="inlineStr">
        <is>
          <t>ÄLVSBYN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28637-2022</t>
        </is>
      </c>
      <c r="B205" s="1" t="n">
        <v>44748</v>
      </c>
      <c r="C205" s="1" t="n">
        <v>45505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29190-2022</t>
        </is>
      </c>
      <c r="B206" s="1" t="n">
        <v>44750</v>
      </c>
      <c r="C206" s="1" t="n">
        <v>45505</v>
      </c>
      <c r="D206" t="inlineStr">
        <is>
          <t>NORRBOTTENS LÄN</t>
        </is>
      </c>
      <c r="E206" t="inlineStr">
        <is>
          <t>ÄLVSBYN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29176-2022</t>
        </is>
      </c>
      <c r="B207" s="1" t="n">
        <v>44750</v>
      </c>
      <c r="C207" s="1" t="n">
        <v>45505</v>
      </c>
      <c r="D207" t="inlineStr">
        <is>
          <t>NORRBOTTENS LÄN</t>
        </is>
      </c>
      <c r="E207" t="inlineStr">
        <is>
          <t>ÄLVSBYN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31322-2022</t>
        </is>
      </c>
      <c r="B208" s="1" t="n">
        <v>44774</v>
      </c>
      <c r="C208" s="1" t="n">
        <v>45505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32368-2022</t>
        </is>
      </c>
      <c r="B209" s="1" t="n">
        <v>44781</v>
      </c>
      <c r="C209" s="1" t="n">
        <v>45505</v>
      </c>
      <c r="D209" t="inlineStr">
        <is>
          <t>NORRBOTTENS LÄN</t>
        </is>
      </c>
      <c r="E209" t="inlineStr">
        <is>
          <t>ÄLVSBYN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32975-2022</t>
        </is>
      </c>
      <c r="B210" s="1" t="n">
        <v>44785</v>
      </c>
      <c r="C210" s="1" t="n">
        <v>45505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32977-2022</t>
        </is>
      </c>
      <c r="B211" s="1" t="n">
        <v>44785</v>
      </c>
      <c r="C211" s="1" t="n">
        <v>45505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33407-2022</t>
        </is>
      </c>
      <c r="B212" s="1" t="n">
        <v>44788</v>
      </c>
      <c r="C212" s="1" t="n">
        <v>45505</v>
      </c>
      <c r="D212" t="inlineStr">
        <is>
          <t>NORRBOTTENS LÄN</t>
        </is>
      </c>
      <c r="E212" t="inlineStr">
        <is>
          <t>ÄLVSBYN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33848-2022</t>
        </is>
      </c>
      <c r="B213" s="1" t="n">
        <v>44790</v>
      </c>
      <c r="C213" s="1" t="n">
        <v>45505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34013-2022</t>
        </is>
      </c>
      <c r="B214" s="1" t="n">
        <v>44790</v>
      </c>
      <c r="C214" s="1" t="n">
        <v>45505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34012-2022</t>
        </is>
      </c>
      <c r="B215" s="1" t="n">
        <v>44791</v>
      </c>
      <c r="C215" s="1" t="n">
        <v>45505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34656-2022</t>
        </is>
      </c>
      <c r="B216" s="1" t="n">
        <v>44795</v>
      </c>
      <c r="C216" s="1" t="n">
        <v>45505</v>
      </c>
      <c r="D216" t="inlineStr">
        <is>
          <t>NORRBOTTENS LÄN</t>
        </is>
      </c>
      <c r="E216" t="inlineStr">
        <is>
          <t>ÄLVSBYN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34609-2022</t>
        </is>
      </c>
      <c r="B217" s="1" t="n">
        <v>44795</v>
      </c>
      <c r="C217" s="1" t="n">
        <v>45505</v>
      </c>
      <c r="D217" t="inlineStr">
        <is>
          <t>NORRBOTTENS LÄN</t>
        </is>
      </c>
      <c r="E217" t="inlineStr">
        <is>
          <t>ÄLVSBYN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34863-2022</t>
        </is>
      </c>
      <c r="B218" s="1" t="n">
        <v>44795</v>
      </c>
      <c r="C218" s="1" t="n">
        <v>45505</v>
      </c>
      <c r="D218" t="inlineStr">
        <is>
          <t>NORRBOTTENS LÄN</t>
        </is>
      </c>
      <c r="E218" t="inlineStr">
        <is>
          <t>ÄLVSBYN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35238-2022</t>
        </is>
      </c>
      <c r="B219" s="1" t="n">
        <v>44798</v>
      </c>
      <c r="C219" s="1" t="n">
        <v>45505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35239-2022</t>
        </is>
      </c>
      <c r="B220" s="1" t="n">
        <v>44798</v>
      </c>
      <c r="C220" s="1" t="n">
        <v>45505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37731-2022</t>
        </is>
      </c>
      <c r="B221" s="1" t="n">
        <v>44810</v>
      </c>
      <c r="C221" s="1" t="n">
        <v>45505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38506-2022</t>
        </is>
      </c>
      <c r="B222" s="1" t="n">
        <v>44813</v>
      </c>
      <c r="C222" s="1" t="n">
        <v>45505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38490-2022</t>
        </is>
      </c>
      <c r="B223" s="1" t="n">
        <v>44813</v>
      </c>
      <c r="C223" s="1" t="n">
        <v>45505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39444-2022</t>
        </is>
      </c>
      <c r="B224" s="1" t="n">
        <v>44818</v>
      </c>
      <c r="C224" s="1" t="n">
        <v>45505</v>
      </c>
      <c r="D224" t="inlineStr">
        <is>
          <t>NORRBOTTENS LÄN</t>
        </is>
      </c>
      <c r="E224" t="inlineStr">
        <is>
          <t>ÄLVSBYN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39914-2022</t>
        </is>
      </c>
      <c r="B225" s="1" t="n">
        <v>44819</v>
      </c>
      <c r="C225" s="1" t="n">
        <v>45505</v>
      </c>
      <c r="D225" t="inlineStr">
        <is>
          <t>NORRBOTTENS LÄN</t>
        </is>
      </c>
      <c r="E225" t="inlineStr">
        <is>
          <t>ÄLVSBYN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40691-2022</t>
        </is>
      </c>
      <c r="B226" s="1" t="n">
        <v>44820</v>
      </c>
      <c r="C226" s="1" t="n">
        <v>45505</v>
      </c>
      <c r="D226" t="inlineStr">
        <is>
          <t>NORRBOTTENS LÄN</t>
        </is>
      </c>
      <c r="E226" t="inlineStr">
        <is>
          <t>ÄLVSBYN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40560-2022</t>
        </is>
      </c>
      <c r="B227" s="1" t="n">
        <v>44823</v>
      </c>
      <c r="C227" s="1" t="n">
        <v>45505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40525-2022</t>
        </is>
      </c>
      <c r="B228" s="1" t="n">
        <v>44823</v>
      </c>
      <c r="C228" s="1" t="n">
        <v>45505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40781-2022</t>
        </is>
      </c>
      <c r="B229" s="1" t="n">
        <v>44824</v>
      </c>
      <c r="C229" s="1" t="n">
        <v>45505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41159-2022</t>
        </is>
      </c>
      <c r="B230" s="1" t="n">
        <v>44825</v>
      </c>
      <c r="C230" s="1" t="n">
        <v>45505</v>
      </c>
      <c r="D230" t="inlineStr">
        <is>
          <t>NORRBOTTENS LÄN</t>
        </is>
      </c>
      <c r="E230" t="inlineStr">
        <is>
          <t>ÄLVSBYN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42805-2022</t>
        </is>
      </c>
      <c r="B231" s="1" t="n">
        <v>44832</v>
      </c>
      <c r="C231" s="1" t="n">
        <v>45505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43579-2022</t>
        </is>
      </c>
      <c r="B232" s="1" t="n">
        <v>44837</v>
      </c>
      <c r="C232" s="1" t="n">
        <v>45505</v>
      </c>
      <c r="D232" t="inlineStr">
        <is>
          <t>NORRBOTTENS LÄN</t>
        </is>
      </c>
      <c r="E232" t="inlineStr">
        <is>
          <t>ÄLVSBYN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45707-2022</t>
        </is>
      </c>
      <c r="B233" s="1" t="n">
        <v>44846</v>
      </c>
      <c r="C233" s="1" t="n">
        <v>45505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46308-2022</t>
        </is>
      </c>
      <c r="B234" s="1" t="n">
        <v>44847</v>
      </c>
      <c r="C234" s="1" t="n">
        <v>45505</v>
      </c>
      <c r="D234" t="inlineStr">
        <is>
          <t>NORRBOTTENS LÄN</t>
        </is>
      </c>
      <c r="E234" t="inlineStr">
        <is>
          <t>ÄLVSBYN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46307-2022</t>
        </is>
      </c>
      <c r="B235" s="1" t="n">
        <v>44847</v>
      </c>
      <c r="C235" s="1" t="n">
        <v>45505</v>
      </c>
      <c r="D235" t="inlineStr">
        <is>
          <t>NORRBOTTENS LÄN</t>
        </is>
      </c>
      <c r="E235" t="inlineStr">
        <is>
          <t>ÄLVSBYN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46980-2022</t>
        </is>
      </c>
      <c r="B236" s="1" t="n">
        <v>44851</v>
      </c>
      <c r="C236" s="1" t="n">
        <v>45505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47121-2022</t>
        </is>
      </c>
      <c r="B237" s="1" t="n">
        <v>44851</v>
      </c>
      <c r="C237" s="1" t="n">
        <v>45505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46979-2022</t>
        </is>
      </c>
      <c r="B238" s="1" t="n">
        <v>44852</v>
      </c>
      <c r="C238" s="1" t="n">
        <v>45505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47427-2022</t>
        </is>
      </c>
      <c r="B239" s="1" t="n">
        <v>44853</v>
      </c>
      <c r="C239" s="1" t="n">
        <v>45505</v>
      </c>
      <c r="D239" t="inlineStr">
        <is>
          <t>NORRBOTTENS LÄN</t>
        </is>
      </c>
      <c r="E239" t="inlineStr">
        <is>
          <t>ÄLVSBYN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47417-2022</t>
        </is>
      </c>
      <c r="B240" s="1" t="n">
        <v>44853</v>
      </c>
      <c r="C240" s="1" t="n">
        <v>45505</v>
      </c>
      <c r="D240" t="inlineStr">
        <is>
          <t>NORRBOTTENS LÄN</t>
        </is>
      </c>
      <c r="E240" t="inlineStr">
        <is>
          <t>ÄLVSBYN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48742-2022</t>
        </is>
      </c>
      <c r="B241" s="1" t="n">
        <v>44855</v>
      </c>
      <c r="C241" s="1" t="n">
        <v>45505</v>
      </c>
      <c r="D241" t="inlineStr">
        <is>
          <t>NORRBOTTENS LÄN</t>
        </is>
      </c>
      <c r="E241" t="inlineStr">
        <is>
          <t>ÄLVSBYN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48532-2022</t>
        </is>
      </c>
      <c r="B242" s="1" t="n">
        <v>44859</v>
      </c>
      <c r="C242" s="1" t="n">
        <v>45505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49441-2022</t>
        </is>
      </c>
      <c r="B243" s="1" t="n">
        <v>44861</v>
      </c>
      <c r="C243" s="1" t="n">
        <v>45505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49767-2022</t>
        </is>
      </c>
      <c r="B244" s="1" t="n">
        <v>44862</v>
      </c>
      <c r="C244" s="1" t="n">
        <v>45505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50634-2022</t>
        </is>
      </c>
      <c r="B245" s="1" t="n">
        <v>44866</v>
      </c>
      <c r="C245" s="1" t="n">
        <v>45505</v>
      </c>
      <c r="D245" t="inlineStr">
        <is>
          <t>NORRBOTTENS LÄN</t>
        </is>
      </c>
      <c r="E245" t="inlineStr">
        <is>
          <t>ÄLVSBYN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50631-2022</t>
        </is>
      </c>
      <c r="B246" s="1" t="n">
        <v>44866</v>
      </c>
      <c r="C246" s="1" t="n">
        <v>45505</v>
      </c>
      <c r="D246" t="inlineStr">
        <is>
          <t>NORRBOTTENS LÄN</t>
        </is>
      </c>
      <c r="E246" t="inlineStr">
        <is>
          <t>ÄLVSBYN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51063-2022</t>
        </is>
      </c>
      <c r="B247" s="1" t="n">
        <v>44868</v>
      </c>
      <c r="C247" s="1" t="n">
        <v>45505</v>
      </c>
      <c r="D247" t="inlineStr">
        <is>
          <t>NORRBOTTENS LÄN</t>
        </is>
      </c>
      <c r="E247" t="inlineStr">
        <is>
          <t>ÄLVSBYN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51981-2022</t>
        </is>
      </c>
      <c r="B248" s="1" t="n">
        <v>44872</v>
      </c>
      <c r="C248" s="1" t="n">
        <v>45505</v>
      </c>
      <c r="D248" t="inlineStr">
        <is>
          <t>NORRBOTTENS LÄN</t>
        </is>
      </c>
      <c r="E248" t="inlineStr">
        <is>
          <t>ÄLVSBYN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52075-2022</t>
        </is>
      </c>
      <c r="B249" s="1" t="n">
        <v>44873</v>
      </c>
      <c r="C249" s="1" t="n">
        <v>45505</v>
      </c>
      <c r="D249" t="inlineStr">
        <is>
          <t>NORRBOTTENS LÄN</t>
        </is>
      </c>
      <c r="E249" t="inlineStr">
        <is>
          <t>ÄLVSBYN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52087-2022</t>
        </is>
      </c>
      <c r="B250" s="1" t="n">
        <v>44873</v>
      </c>
      <c r="C250" s="1" t="n">
        <v>45505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52327-2022</t>
        </is>
      </c>
      <c r="B251" s="1" t="n">
        <v>44873</v>
      </c>
      <c r="C251" s="1" t="n">
        <v>45505</v>
      </c>
      <c r="D251" t="inlineStr">
        <is>
          <t>NORRBOTTENS LÄN</t>
        </is>
      </c>
      <c r="E251" t="inlineStr">
        <is>
          <t>ÄLVSBYN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53037-2022</t>
        </is>
      </c>
      <c r="B252" s="1" t="n">
        <v>44876</v>
      </c>
      <c r="C252" s="1" t="n">
        <v>45505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57233-2022</t>
        </is>
      </c>
      <c r="B253" s="1" t="n">
        <v>44895</v>
      </c>
      <c r="C253" s="1" t="n">
        <v>45505</v>
      </c>
      <c r="D253" t="inlineStr">
        <is>
          <t>NORRBOTTENS LÄN</t>
        </is>
      </c>
      <c r="E253" t="inlineStr">
        <is>
          <t>ÄLVSBYN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57214-2022</t>
        </is>
      </c>
      <c r="B254" s="1" t="n">
        <v>44895</v>
      </c>
      <c r="C254" s="1" t="n">
        <v>45505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58908-2022</t>
        </is>
      </c>
      <c r="B255" s="1" t="n">
        <v>44896</v>
      </c>
      <c r="C255" s="1" t="n">
        <v>45505</v>
      </c>
      <c r="D255" t="inlineStr">
        <is>
          <t>NORRBOTTENS LÄN</t>
        </is>
      </c>
      <c r="E255" t="inlineStr">
        <is>
          <t>ÄLVSBYN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57789-2022</t>
        </is>
      </c>
      <c r="B256" s="1" t="n">
        <v>44897</v>
      </c>
      <c r="C256" s="1" t="n">
        <v>45505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57785-2022</t>
        </is>
      </c>
      <c r="B257" s="1" t="n">
        <v>44897</v>
      </c>
      <c r="C257" s="1" t="n">
        <v>45505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60351-2022</t>
        </is>
      </c>
      <c r="B258" s="1" t="n">
        <v>44910</v>
      </c>
      <c r="C258" s="1" t="n">
        <v>45505</v>
      </c>
      <c r="D258" t="inlineStr">
        <is>
          <t>NORRBOTTENS LÄN</t>
        </is>
      </c>
      <c r="E258" t="inlineStr">
        <is>
          <t>ÄLVSBYN</t>
        </is>
      </c>
      <c r="G258" t="n">
        <v>23.4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60403-2022</t>
        </is>
      </c>
      <c r="B259" s="1" t="n">
        <v>44910</v>
      </c>
      <c r="C259" s="1" t="n">
        <v>45505</v>
      </c>
      <c r="D259" t="inlineStr">
        <is>
          <t>NORRBOTTENS LÄN</t>
        </is>
      </c>
      <c r="E259" t="inlineStr">
        <is>
          <t>ÄLVSBYN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61650-2022</t>
        </is>
      </c>
      <c r="B260" s="1" t="n">
        <v>44916</v>
      </c>
      <c r="C260" s="1" t="n">
        <v>45505</v>
      </c>
      <c r="D260" t="inlineStr">
        <is>
          <t>NORRBOTTENS LÄN</t>
        </is>
      </c>
      <c r="E260" t="inlineStr">
        <is>
          <t>ÄLVSBYN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22-2023</t>
        </is>
      </c>
      <c r="B261" s="1" t="n">
        <v>44918</v>
      </c>
      <c r="C261" s="1" t="n">
        <v>45505</v>
      </c>
      <c r="D261" t="inlineStr">
        <is>
          <t>NORRBOTTENS LÄN</t>
        </is>
      </c>
      <c r="E261" t="inlineStr">
        <is>
          <t>ÄLVSBYN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43-2023</t>
        </is>
      </c>
      <c r="B262" s="1" t="n">
        <v>44918</v>
      </c>
      <c r="C262" s="1" t="n">
        <v>45505</v>
      </c>
      <c r="D262" t="inlineStr">
        <is>
          <t>NORRBOTTENS LÄN</t>
        </is>
      </c>
      <c r="E262" t="inlineStr">
        <is>
          <t>ÄLVSBYN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2293-2023</t>
        </is>
      </c>
      <c r="B263" s="1" t="n">
        <v>44942</v>
      </c>
      <c r="C263" s="1" t="n">
        <v>45505</v>
      </c>
      <c r="D263" t="inlineStr">
        <is>
          <t>NORRBOTTENS LÄN</t>
        </is>
      </c>
      <c r="E263" t="inlineStr">
        <is>
          <t>ÄLVSBYN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2290-2023</t>
        </is>
      </c>
      <c r="B264" s="1" t="n">
        <v>44942</v>
      </c>
      <c r="C264" s="1" t="n">
        <v>45505</v>
      </c>
      <c r="D264" t="inlineStr">
        <is>
          <t>NORRBOTTENS LÄN</t>
        </is>
      </c>
      <c r="E264" t="inlineStr">
        <is>
          <t>ÄLVSBYN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2595-2023</t>
        </is>
      </c>
      <c r="B265" s="1" t="n">
        <v>44943</v>
      </c>
      <c r="C265" s="1" t="n">
        <v>45505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2678-2023</t>
        </is>
      </c>
      <c r="B266" s="1" t="n">
        <v>44944</v>
      </c>
      <c r="C266" s="1" t="n">
        <v>45505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3500-2023</t>
        </is>
      </c>
      <c r="B267" s="1" t="n">
        <v>44949</v>
      </c>
      <c r="C267" s="1" t="n">
        <v>45505</v>
      </c>
      <c r="D267" t="inlineStr">
        <is>
          <t>NORRBOTTENS LÄN</t>
        </is>
      </c>
      <c r="E267" t="inlineStr">
        <is>
          <t>ÄLVSBYN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3497-2023</t>
        </is>
      </c>
      <c r="B268" s="1" t="n">
        <v>44949</v>
      </c>
      <c r="C268" s="1" t="n">
        <v>45505</v>
      </c>
      <c r="D268" t="inlineStr">
        <is>
          <t>NORRBOTTENS LÄN</t>
        </is>
      </c>
      <c r="E268" t="inlineStr">
        <is>
          <t>ÄLVSBYN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4013-2023</t>
        </is>
      </c>
      <c r="B269" s="1" t="n">
        <v>44949</v>
      </c>
      <c r="C269" s="1" t="n">
        <v>45505</v>
      </c>
      <c r="D269" t="inlineStr">
        <is>
          <t>NORRBOTTENS LÄN</t>
        </is>
      </c>
      <c r="E269" t="inlineStr">
        <is>
          <t>ÄLVSBYN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4128-2023</t>
        </is>
      </c>
      <c r="B270" s="1" t="n">
        <v>44952</v>
      </c>
      <c r="C270" s="1" t="n">
        <v>45505</v>
      </c>
      <c r="D270" t="inlineStr">
        <is>
          <t>NORRBOTTENS LÄN</t>
        </is>
      </c>
      <c r="E270" t="inlineStr">
        <is>
          <t>ÄLVSBYN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4127-2023</t>
        </is>
      </c>
      <c r="B271" s="1" t="n">
        <v>44952</v>
      </c>
      <c r="C271" s="1" t="n">
        <v>45505</v>
      </c>
      <c r="D271" t="inlineStr">
        <is>
          <t>NORRBOTTENS LÄN</t>
        </is>
      </c>
      <c r="E271" t="inlineStr">
        <is>
          <t>ÄLVSBYN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5659-2023</t>
        </is>
      </c>
      <c r="B272" s="1" t="n">
        <v>44958</v>
      </c>
      <c r="C272" s="1" t="n">
        <v>45505</v>
      </c>
      <c r="D272" t="inlineStr">
        <is>
          <t>NORRBOTTENS LÄN</t>
        </is>
      </c>
      <c r="E272" t="inlineStr">
        <is>
          <t>ÄLVSBYN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6004-2023</t>
        </is>
      </c>
      <c r="B273" s="1" t="n">
        <v>44959</v>
      </c>
      <c r="C273" s="1" t="n">
        <v>45505</v>
      </c>
      <c r="D273" t="inlineStr">
        <is>
          <t>NORRBOTTENS LÄN</t>
        </is>
      </c>
      <c r="E273" t="inlineStr">
        <is>
          <t>ÄLVSBYN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5635-2023</t>
        </is>
      </c>
      <c r="B274" s="1" t="n">
        <v>44960</v>
      </c>
      <c r="C274" s="1" t="n">
        <v>45505</v>
      </c>
      <c r="D274" t="inlineStr">
        <is>
          <t>NORRBOTTENS LÄN</t>
        </is>
      </c>
      <c r="E274" t="inlineStr">
        <is>
          <t>ÄLVSBYN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5610-2023</t>
        </is>
      </c>
      <c r="B275" s="1" t="n">
        <v>44960</v>
      </c>
      <c r="C275" s="1" t="n">
        <v>45505</v>
      </c>
      <c r="D275" t="inlineStr">
        <is>
          <t>NORRBOTTENS LÄN</t>
        </is>
      </c>
      <c r="E275" t="inlineStr">
        <is>
          <t>ÄLVSBYN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5603-2023</t>
        </is>
      </c>
      <c r="B276" s="1" t="n">
        <v>44960</v>
      </c>
      <c r="C276" s="1" t="n">
        <v>45505</v>
      </c>
      <c r="D276" t="inlineStr">
        <is>
          <t>NORRBOTTENS LÄN</t>
        </is>
      </c>
      <c r="E276" t="inlineStr">
        <is>
          <t>ÄLVSBYN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6769-2023</t>
        </is>
      </c>
      <c r="B277" s="1" t="n">
        <v>44966</v>
      </c>
      <c r="C277" s="1" t="n">
        <v>45505</v>
      </c>
      <c r="D277" t="inlineStr">
        <is>
          <t>NORRBOTTENS LÄN</t>
        </is>
      </c>
      <c r="E277" t="inlineStr">
        <is>
          <t>ÄLVSBYN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6825-2023</t>
        </is>
      </c>
      <c r="B278" s="1" t="n">
        <v>44967</v>
      </c>
      <c r="C278" s="1" t="n">
        <v>45505</v>
      </c>
      <c r="D278" t="inlineStr">
        <is>
          <t>NORRBOTTENS LÄN</t>
        </is>
      </c>
      <c r="E278" t="inlineStr">
        <is>
          <t>ÄLVSBYN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8739-2023</t>
        </is>
      </c>
      <c r="B279" s="1" t="n">
        <v>44973</v>
      </c>
      <c r="C279" s="1" t="n">
        <v>45505</v>
      </c>
      <c r="D279" t="inlineStr">
        <is>
          <t>NORRBOTTENS LÄN</t>
        </is>
      </c>
      <c r="E279" t="inlineStr">
        <is>
          <t>ÄLVSBYN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8723-2023</t>
        </is>
      </c>
      <c r="B280" s="1" t="n">
        <v>44973</v>
      </c>
      <c r="C280" s="1" t="n">
        <v>45505</v>
      </c>
      <c r="D280" t="inlineStr">
        <is>
          <t>NORRBOTTENS LÄN</t>
        </is>
      </c>
      <c r="E280" t="inlineStr">
        <is>
          <t>ÄLVSBYN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8502-2023</t>
        </is>
      </c>
      <c r="B281" s="1" t="n">
        <v>44977</v>
      </c>
      <c r="C281" s="1" t="n">
        <v>45505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10066-2023</t>
        </is>
      </c>
      <c r="B282" s="1" t="n">
        <v>44985</v>
      </c>
      <c r="C282" s="1" t="n">
        <v>45505</v>
      </c>
      <c r="D282" t="inlineStr">
        <is>
          <t>NORRBOTTENS LÄN</t>
        </is>
      </c>
      <c r="E282" t="inlineStr">
        <is>
          <t>ÄLVSBYN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10712-2023</t>
        </is>
      </c>
      <c r="B283" s="1" t="n">
        <v>44988</v>
      </c>
      <c r="C283" s="1" t="n">
        <v>45505</v>
      </c>
      <c r="D283" t="inlineStr">
        <is>
          <t>NORRBOTTENS LÄN</t>
        </is>
      </c>
      <c r="E283" t="inlineStr">
        <is>
          <t>ÄLVSBYN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10705-2023</t>
        </is>
      </c>
      <c r="B284" s="1" t="n">
        <v>44988</v>
      </c>
      <c r="C284" s="1" t="n">
        <v>45505</v>
      </c>
      <c r="D284" t="inlineStr">
        <is>
          <t>NORRBOTTENS LÄN</t>
        </is>
      </c>
      <c r="E284" t="inlineStr">
        <is>
          <t>ÄLVSBYN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11293-2023</t>
        </is>
      </c>
      <c r="B285" s="1" t="n">
        <v>44992</v>
      </c>
      <c r="C285" s="1" t="n">
        <v>45505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11835-2023</t>
        </is>
      </c>
      <c r="B286" s="1" t="n">
        <v>44994</v>
      </c>
      <c r="C286" s="1" t="n">
        <v>45505</v>
      </c>
      <c r="D286" t="inlineStr">
        <is>
          <t>NORRBOTTENS LÄN</t>
        </is>
      </c>
      <c r="E286" t="inlineStr">
        <is>
          <t>ÄLVSBYN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13173-2023</t>
        </is>
      </c>
      <c r="B287" s="1" t="n">
        <v>45002</v>
      </c>
      <c r="C287" s="1" t="n">
        <v>45505</v>
      </c>
      <c r="D287" t="inlineStr">
        <is>
          <t>NORRBOTTENS LÄN</t>
        </is>
      </c>
      <c r="E287" t="inlineStr">
        <is>
          <t>ÄLVSBYN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13204-2023</t>
        </is>
      </c>
      <c r="B288" s="1" t="n">
        <v>45002</v>
      </c>
      <c r="C288" s="1" t="n">
        <v>45505</v>
      </c>
      <c r="D288" t="inlineStr">
        <is>
          <t>NORRBOTTENS LÄN</t>
        </is>
      </c>
      <c r="E288" t="inlineStr">
        <is>
          <t>ÄLVSBYN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14436-2023</t>
        </is>
      </c>
      <c r="B289" s="1" t="n">
        <v>45012</v>
      </c>
      <c r="C289" s="1" t="n">
        <v>45505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15076-2023</t>
        </is>
      </c>
      <c r="B290" s="1" t="n">
        <v>45016</v>
      </c>
      <c r="C290" s="1" t="n">
        <v>45505</v>
      </c>
      <c r="D290" t="inlineStr">
        <is>
          <t>NORRBOTTENS LÄN</t>
        </is>
      </c>
      <c r="E290" t="inlineStr">
        <is>
          <t>ÄLVSBYN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15251-2023</t>
        </is>
      </c>
      <c r="B291" s="1" t="n">
        <v>45016</v>
      </c>
      <c r="C291" s="1" t="n">
        <v>45505</v>
      </c>
      <c r="D291" t="inlineStr">
        <is>
          <t>NORRBOTTENS LÄN</t>
        </is>
      </c>
      <c r="E291" t="inlineStr">
        <is>
          <t>ÄLVSBYN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15255-2023</t>
        </is>
      </c>
      <c r="B292" s="1" t="n">
        <v>45016</v>
      </c>
      <c r="C292" s="1" t="n">
        <v>45505</v>
      </c>
      <c r="D292" t="inlineStr">
        <is>
          <t>NORRBOTTENS LÄN</t>
        </is>
      </c>
      <c r="E292" t="inlineStr">
        <is>
          <t>ÄLVSBYN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15250-2023</t>
        </is>
      </c>
      <c r="B293" s="1" t="n">
        <v>45016</v>
      </c>
      <c r="C293" s="1" t="n">
        <v>45505</v>
      </c>
      <c r="D293" t="inlineStr">
        <is>
          <t>NORRBOTTENS LÄN</t>
        </is>
      </c>
      <c r="E293" t="inlineStr">
        <is>
          <t>ÄLVSBYN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15619-2023</t>
        </is>
      </c>
      <c r="B294" s="1" t="n">
        <v>45021</v>
      </c>
      <c r="C294" s="1" t="n">
        <v>45505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16914-2023</t>
        </is>
      </c>
      <c r="B295" s="1" t="n">
        <v>45028</v>
      </c>
      <c r="C295" s="1" t="n">
        <v>45505</v>
      </c>
      <c r="D295" t="inlineStr">
        <is>
          <t>NORRBOTTENS LÄN</t>
        </is>
      </c>
      <c r="E295" t="inlineStr">
        <is>
          <t>ÄLVSBYN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16991-2023</t>
        </is>
      </c>
      <c r="B296" s="1" t="n">
        <v>45033</v>
      </c>
      <c r="C296" s="1" t="n">
        <v>45505</v>
      </c>
      <c r="D296" t="inlineStr">
        <is>
          <t>NORRBOTTENS LÄN</t>
        </is>
      </c>
      <c r="E296" t="inlineStr">
        <is>
          <t>ÄLVSBYN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17445-2023</t>
        </is>
      </c>
      <c r="B297" s="1" t="n">
        <v>45035</v>
      </c>
      <c r="C297" s="1" t="n">
        <v>45505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19142-2023</t>
        </is>
      </c>
      <c r="B298" s="1" t="n">
        <v>45044</v>
      </c>
      <c r="C298" s="1" t="n">
        <v>45505</v>
      </c>
      <c r="D298" t="inlineStr">
        <is>
          <t>NORRBOTTENS LÄN</t>
        </is>
      </c>
      <c r="E298" t="inlineStr">
        <is>
          <t>ÄLVSBYN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21677-2023</t>
        </is>
      </c>
      <c r="B299" s="1" t="n">
        <v>45064</v>
      </c>
      <c r="C299" s="1" t="n">
        <v>45505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21895-2023</t>
        </is>
      </c>
      <c r="B300" s="1" t="n">
        <v>45068</v>
      </c>
      <c r="C300" s="1" t="n">
        <v>45505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22335-2023</t>
        </is>
      </c>
      <c r="B301" s="1" t="n">
        <v>45070</v>
      </c>
      <c r="C301" s="1" t="n">
        <v>45505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23278-2023</t>
        </is>
      </c>
      <c r="B302" s="1" t="n">
        <v>45076</v>
      </c>
      <c r="C302" s="1" t="n">
        <v>45505</v>
      </c>
      <c r="D302" t="inlineStr">
        <is>
          <t>NORRBOTTENS LÄN</t>
        </is>
      </c>
      <c r="E302" t="inlineStr">
        <is>
          <t>ÄLVSBYN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23280-2023</t>
        </is>
      </c>
      <c r="B303" s="1" t="n">
        <v>45076</v>
      </c>
      <c r="C303" s="1" t="n">
        <v>45505</v>
      </c>
      <c r="D303" t="inlineStr">
        <is>
          <t>NORRBOTTENS LÄN</t>
        </is>
      </c>
      <c r="E303" t="inlineStr">
        <is>
          <t>ÄLVSBYN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23178-2023</t>
        </is>
      </c>
      <c r="B304" s="1" t="n">
        <v>45075</v>
      </c>
      <c r="C304" s="1" t="n">
        <v>45505</v>
      </c>
      <c r="D304" t="inlineStr">
        <is>
          <t>NORRBOTTENS LÄN</t>
        </is>
      </c>
      <c r="E304" t="inlineStr">
        <is>
          <t>ÄLVSBYN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23279-2023</t>
        </is>
      </c>
      <c r="B305" s="1" t="n">
        <v>45076</v>
      </c>
      <c r="C305" s="1" t="n">
        <v>45505</v>
      </c>
      <c r="D305" t="inlineStr">
        <is>
          <t>NORRBOTTENS LÄN</t>
        </is>
      </c>
      <c r="E305" t="inlineStr">
        <is>
          <t>ÄLVSBYN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23522-2023</t>
        </is>
      </c>
      <c r="B306" s="1" t="n">
        <v>45077</v>
      </c>
      <c r="C306" s="1" t="n">
        <v>45505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25158-2023</t>
        </is>
      </c>
      <c r="B307" s="1" t="n">
        <v>45078</v>
      </c>
      <c r="C307" s="1" t="n">
        <v>45505</v>
      </c>
      <c r="D307" t="inlineStr">
        <is>
          <t>NORRBOTTENS LÄN</t>
        </is>
      </c>
      <c r="E307" t="inlineStr">
        <is>
          <t>ÄLVSBYN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25102-2023</t>
        </is>
      </c>
      <c r="B308" s="1" t="n">
        <v>45078</v>
      </c>
      <c r="C308" s="1" t="n">
        <v>45505</v>
      </c>
      <c r="D308" t="inlineStr">
        <is>
          <t>NORRBOTTENS LÄN</t>
        </is>
      </c>
      <c r="E308" t="inlineStr">
        <is>
          <t>ÄLVSBYN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24922-2023</t>
        </is>
      </c>
      <c r="B309" s="1" t="n">
        <v>45078</v>
      </c>
      <c r="C309" s="1" t="n">
        <v>45505</v>
      </c>
      <c r="D309" t="inlineStr">
        <is>
          <t>NORRBOTTENS LÄN</t>
        </is>
      </c>
      <c r="E309" t="inlineStr">
        <is>
          <t>ÄLVSBYN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24125-2023</t>
        </is>
      </c>
      <c r="B310" s="1" t="n">
        <v>45079</v>
      </c>
      <c r="C310" s="1" t="n">
        <v>45505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24274-2023</t>
        </is>
      </c>
      <c r="B311" s="1" t="n">
        <v>45079</v>
      </c>
      <c r="C311" s="1" t="n">
        <v>45505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24737-2023</t>
        </is>
      </c>
      <c r="B312" s="1" t="n">
        <v>45084</v>
      </c>
      <c r="C312" s="1" t="n">
        <v>45505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25212-2023</t>
        </is>
      </c>
      <c r="B313" s="1" t="n">
        <v>45086</v>
      </c>
      <c r="C313" s="1" t="n">
        <v>45505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25222-2023</t>
        </is>
      </c>
      <c r="B314" s="1" t="n">
        <v>45086</v>
      </c>
      <c r="C314" s="1" t="n">
        <v>45505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25137-2023</t>
        </is>
      </c>
      <c r="B315" s="1" t="n">
        <v>45086</v>
      </c>
      <c r="C315" s="1" t="n">
        <v>45505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25663-2023</t>
        </is>
      </c>
      <c r="B316" s="1" t="n">
        <v>45090</v>
      </c>
      <c r="C316" s="1" t="n">
        <v>45505</v>
      </c>
      <c r="D316" t="inlineStr">
        <is>
          <t>NORRBOTTENS LÄN</t>
        </is>
      </c>
      <c r="E316" t="inlineStr">
        <is>
          <t>ÄLVSBYN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25691-2023</t>
        </is>
      </c>
      <c r="B317" s="1" t="n">
        <v>45090</v>
      </c>
      <c r="C317" s="1" t="n">
        <v>45505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25662-2023</t>
        </is>
      </c>
      <c r="B318" s="1" t="n">
        <v>45090</v>
      </c>
      <c r="C318" s="1" t="n">
        <v>45505</v>
      </c>
      <c r="D318" t="inlineStr">
        <is>
          <t>NORRBOTTENS LÄN</t>
        </is>
      </c>
      <c r="E318" t="inlineStr">
        <is>
          <t>ÄLVSBYN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25890-2023</t>
        </is>
      </c>
      <c r="B319" s="1" t="n">
        <v>45090</v>
      </c>
      <c r="C319" s="1" t="n">
        <v>45505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25879-2023</t>
        </is>
      </c>
      <c r="B320" s="1" t="n">
        <v>45090</v>
      </c>
      <c r="C320" s="1" t="n">
        <v>45505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26240-2023</t>
        </is>
      </c>
      <c r="B321" s="1" t="n">
        <v>45091</v>
      </c>
      <c r="C321" s="1" t="n">
        <v>45505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26164-2023</t>
        </is>
      </c>
      <c r="B322" s="1" t="n">
        <v>45091</v>
      </c>
      <c r="C322" s="1" t="n">
        <v>45505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29638-2023</t>
        </is>
      </c>
      <c r="B323" s="1" t="n">
        <v>45098</v>
      </c>
      <c r="C323" s="1" t="n">
        <v>45505</v>
      </c>
      <c r="D323" t="inlineStr">
        <is>
          <t>NORRBOTTENS LÄN</t>
        </is>
      </c>
      <c r="E323" t="inlineStr">
        <is>
          <t>ÄLVSBYN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28094-2023</t>
        </is>
      </c>
      <c r="B324" s="1" t="n">
        <v>45099</v>
      </c>
      <c r="C324" s="1" t="n">
        <v>45505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28354-2023</t>
        </is>
      </c>
      <c r="B325" s="1" t="n">
        <v>45100</v>
      </c>
      <c r="C325" s="1" t="n">
        <v>45505</v>
      </c>
      <c r="D325" t="inlineStr">
        <is>
          <t>NORRBOTTENS LÄN</t>
        </is>
      </c>
      <c r="E325" t="inlineStr">
        <is>
          <t>ÄLVSBYN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28569-2023</t>
        </is>
      </c>
      <c r="B326" s="1" t="n">
        <v>45103</v>
      </c>
      <c r="C326" s="1" t="n">
        <v>45505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28757-2023</t>
        </is>
      </c>
      <c r="B327" s="1" t="n">
        <v>45103</v>
      </c>
      <c r="C327" s="1" t="n">
        <v>45505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28755-2023</t>
        </is>
      </c>
      <c r="B328" s="1" t="n">
        <v>45104</v>
      </c>
      <c r="C328" s="1" t="n">
        <v>45505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28583-2023</t>
        </is>
      </c>
      <c r="B329" s="1" t="n">
        <v>45103</v>
      </c>
      <c r="C329" s="1" t="n">
        <v>45505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28756-2023</t>
        </is>
      </c>
      <c r="B330" s="1" t="n">
        <v>45104</v>
      </c>
      <c r="C330" s="1" t="n">
        <v>45505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29655-2023</t>
        </is>
      </c>
      <c r="B331" s="1" t="n">
        <v>45107</v>
      </c>
      <c r="C331" s="1" t="n">
        <v>45505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29654-2023</t>
        </is>
      </c>
      <c r="B332" s="1" t="n">
        <v>45107</v>
      </c>
      <c r="C332" s="1" t="n">
        <v>45505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29649-2023</t>
        </is>
      </c>
      <c r="B333" s="1" t="n">
        <v>45107</v>
      </c>
      <c r="C333" s="1" t="n">
        <v>45505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29653-2023</t>
        </is>
      </c>
      <c r="B334" s="1" t="n">
        <v>45107</v>
      </c>
      <c r="C334" s="1" t="n">
        <v>45505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29652-2023</t>
        </is>
      </c>
      <c r="B335" s="1" t="n">
        <v>45107</v>
      </c>
      <c r="C335" s="1" t="n">
        <v>45505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29882-2023</t>
        </is>
      </c>
      <c r="B336" s="1" t="n">
        <v>45107</v>
      </c>
      <c r="C336" s="1" t="n">
        <v>45505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29886-2023</t>
        </is>
      </c>
      <c r="B337" s="1" t="n">
        <v>45107</v>
      </c>
      <c r="C337" s="1" t="n">
        <v>45505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31056-2023</t>
        </is>
      </c>
      <c r="B338" s="1" t="n">
        <v>45113</v>
      </c>
      <c r="C338" s="1" t="n">
        <v>45505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31051-2023</t>
        </is>
      </c>
      <c r="B339" s="1" t="n">
        <v>45113</v>
      </c>
      <c r="C339" s="1" t="n">
        <v>45505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31216-2023</t>
        </is>
      </c>
      <c r="B340" s="1" t="n">
        <v>45114</v>
      </c>
      <c r="C340" s="1" t="n">
        <v>45505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31220-2023</t>
        </is>
      </c>
      <c r="B341" s="1" t="n">
        <v>45114</v>
      </c>
      <c r="C341" s="1" t="n">
        <v>45505</v>
      </c>
      <c r="D341" t="inlineStr">
        <is>
          <t>NORRBOTTENS LÄN</t>
        </is>
      </c>
      <c r="E341" t="inlineStr">
        <is>
          <t>ÄLVSBYN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31219-2023</t>
        </is>
      </c>
      <c r="B342" s="1" t="n">
        <v>45114</v>
      </c>
      <c r="C342" s="1" t="n">
        <v>45505</v>
      </c>
      <c r="D342" t="inlineStr">
        <is>
          <t>NORRBOTTENS LÄN</t>
        </is>
      </c>
      <c r="E342" t="inlineStr">
        <is>
          <t>ÄLVSBYN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32445-2023</t>
        </is>
      </c>
      <c r="B343" s="1" t="n">
        <v>45120</v>
      </c>
      <c r="C343" s="1" t="n">
        <v>45505</v>
      </c>
      <c r="D343" t="inlineStr">
        <is>
          <t>NORRBOTTENS LÄN</t>
        </is>
      </c>
      <c r="E343" t="inlineStr">
        <is>
          <t>ÄLVSBYN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32963-2023</t>
        </is>
      </c>
      <c r="B344" s="1" t="n">
        <v>45125</v>
      </c>
      <c r="C344" s="1" t="n">
        <v>45505</v>
      </c>
      <c r="D344" t="inlineStr">
        <is>
          <t>NORRBOTTENS LÄN</t>
        </is>
      </c>
      <c r="E344" t="inlineStr">
        <is>
          <t>ÄLVSBYN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32956-2023</t>
        </is>
      </c>
      <c r="B345" s="1" t="n">
        <v>45125</v>
      </c>
      <c r="C345" s="1" t="n">
        <v>45505</v>
      </c>
      <c r="D345" t="inlineStr">
        <is>
          <t>NORRBOTTENS LÄN</t>
        </is>
      </c>
      <c r="E345" t="inlineStr">
        <is>
          <t>ÄLVSBYN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32966-2023</t>
        </is>
      </c>
      <c r="B346" s="1" t="n">
        <v>45125</v>
      </c>
      <c r="C346" s="1" t="n">
        <v>45505</v>
      </c>
      <c r="D346" t="inlineStr">
        <is>
          <t>NORRBOTTENS LÄN</t>
        </is>
      </c>
      <c r="E346" t="inlineStr">
        <is>
          <t>ÄLVSBYN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35508-2023</t>
        </is>
      </c>
      <c r="B347" s="1" t="n">
        <v>45147</v>
      </c>
      <c r="C347" s="1" t="n">
        <v>45505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36499-2023</t>
        </is>
      </c>
      <c r="B348" s="1" t="n">
        <v>45153</v>
      </c>
      <c r="C348" s="1" t="n">
        <v>45505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36500-2023</t>
        </is>
      </c>
      <c r="B349" s="1" t="n">
        <v>45153</v>
      </c>
      <c r="C349" s="1" t="n">
        <v>45505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36485-2023</t>
        </is>
      </c>
      <c r="B350" s="1" t="n">
        <v>45152</v>
      </c>
      <c r="C350" s="1" t="n">
        <v>45505</v>
      </c>
      <c r="D350" t="inlineStr">
        <is>
          <t>NORRBOTTENS LÄN</t>
        </is>
      </c>
      <c r="E350" t="inlineStr">
        <is>
          <t>ÄLVSBYN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36501-2023</t>
        </is>
      </c>
      <c r="B351" s="1" t="n">
        <v>45153</v>
      </c>
      <c r="C351" s="1" t="n">
        <v>45505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36820-2023</t>
        </is>
      </c>
      <c r="B352" s="1" t="n">
        <v>45154</v>
      </c>
      <c r="C352" s="1" t="n">
        <v>45505</v>
      </c>
      <c r="D352" t="inlineStr">
        <is>
          <t>NORRBOTTENS LÄN</t>
        </is>
      </c>
      <c r="E352" t="inlineStr">
        <is>
          <t>ÄLVSBYN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37720-2023</t>
        </is>
      </c>
      <c r="B353" s="1" t="n">
        <v>45159</v>
      </c>
      <c r="C353" s="1" t="n">
        <v>45505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38003-2023</t>
        </is>
      </c>
      <c r="B354" s="1" t="n">
        <v>45159</v>
      </c>
      <c r="C354" s="1" t="n">
        <v>45505</v>
      </c>
      <c r="D354" t="inlineStr">
        <is>
          <t>NORRBOTTENS LÄN</t>
        </is>
      </c>
      <c r="E354" t="inlineStr">
        <is>
          <t>ÄLVSBYN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37961-2023</t>
        </is>
      </c>
      <c r="B355" s="1" t="n">
        <v>45159</v>
      </c>
      <c r="C355" s="1" t="n">
        <v>45505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37984-2023</t>
        </is>
      </c>
      <c r="B356" s="1" t="n">
        <v>45159</v>
      </c>
      <c r="C356" s="1" t="n">
        <v>45505</v>
      </c>
      <c r="D356" t="inlineStr">
        <is>
          <t>NORRBOTTENS LÄN</t>
        </is>
      </c>
      <c r="E356" t="inlineStr">
        <is>
          <t>ÄLVSBYN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37977-2023</t>
        </is>
      </c>
      <c r="B357" s="1" t="n">
        <v>45159</v>
      </c>
      <c r="C357" s="1" t="n">
        <v>45505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39005-2023</t>
        </is>
      </c>
      <c r="B358" s="1" t="n">
        <v>45162</v>
      </c>
      <c r="C358" s="1" t="n">
        <v>45505</v>
      </c>
      <c r="D358" t="inlineStr">
        <is>
          <t>NORRBOTTENS LÄN</t>
        </is>
      </c>
      <c r="E358" t="inlineStr">
        <is>
          <t>ÄLVSBYN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39378-2023</t>
        </is>
      </c>
      <c r="B359" s="1" t="n">
        <v>45166</v>
      </c>
      <c r="C359" s="1" t="n">
        <v>45505</v>
      </c>
      <c r="D359" t="inlineStr">
        <is>
          <t>NORRBOTTENS LÄN</t>
        </is>
      </c>
      <c r="E359" t="inlineStr">
        <is>
          <t>ÄLVSBYN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39551-2023</t>
        </is>
      </c>
      <c r="B360" s="1" t="n">
        <v>45167</v>
      </c>
      <c r="C360" s="1" t="n">
        <v>45505</v>
      </c>
      <c r="D360" t="inlineStr">
        <is>
          <t>NORRBOTTENS LÄN</t>
        </is>
      </c>
      <c r="E360" t="inlineStr">
        <is>
          <t>ÄLVSBYN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41467-2023</t>
        </is>
      </c>
      <c r="B361" s="1" t="n">
        <v>45175</v>
      </c>
      <c r="C361" s="1" t="n">
        <v>45505</v>
      </c>
      <c r="D361" t="inlineStr">
        <is>
          <t>NORRBOTTENS LÄN</t>
        </is>
      </c>
      <c r="E361" t="inlineStr">
        <is>
          <t>ÄLVSBYN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41813-2023</t>
        </is>
      </c>
      <c r="B362" s="1" t="n">
        <v>45176</v>
      </c>
      <c r="C362" s="1" t="n">
        <v>45505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42542-2023</t>
        </is>
      </c>
      <c r="B363" s="1" t="n">
        <v>45181</v>
      </c>
      <c r="C363" s="1" t="n">
        <v>45505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42553-2023</t>
        </is>
      </c>
      <c r="B364" s="1" t="n">
        <v>45181</v>
      </c>
      <c r="C364" s="1" t="n">
        <v>45505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43114-2023</t>
        </is>
      </c>
      <c r="B365" s="1" t="n">
        <v>45182</v>
      </c>
      <c r="C365" s="1" t="n">
        <v>45505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43118-2023</t>
        </is>
      </c>
      <c r="B366" s="1" t="n">
        <v>45183</v>
      </c>
      <c r="C366" s="1" t="n">
        <v>45505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43115-2023</t>
        </is>
      </c>
      <c r="B367" s="1" t="n">
        <v>45182</v>
      </c>
      <c r="C367" s="1" t="n">
        <v>45505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43116-2023</t>
        </is>
      </c>
      <c r="B368" s="1" t="n">
        <v>45183</v>
      </c>
      <c r="C368" s="1" t="n">
        <v>45505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43117-2023</t>
        </is>
      </c>
      <c r="B369" s="1" t="n">
        <v>45183</v>
      </c>
      <c r="C369" s="1" t="n">
        <v>45505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44964-2023</t>
        </is>
      </c>
      <c r="B370" s="1" t="n">
        <v>45190</v>
      </c>
      <c r="C370" s="1" t="n">
        <v>45505</v>
      </c>
      <c r="D370" t="inlineStr">
        <is>
          <t>NORRBOTTENS LÄN</t>
        </is>
      </c>
      <c r="E370" t="inlineStr">
        <is>
          <t>ÄLVSBYN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45136-2023</t>
        </is>
      </c>
      <c r="B371" s="1" t="n">
        <v>45191</v>
      </c>
      <c r="C371" s="1" t="n">
        <v>45505</v>
      </c>
      <c r="D371" t="inlineStr">
        <is>
          <t>NORRBOTTENS LÄN</t>
        </is>
      </c>
      <c r="E371" t="inlineStr">
        <is>
          <t>ÄLVSBYN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45135-2023</t>
        </is>
      </c>
      <c r="B372" s="1" t="n">
        <v>45191</v>
      </c>
      <c r="C372" s="1" t="n">
        <v>45505</v>
      </c>
      <c r="D372" t="inlineStr">
        <is>
          <t>NORRBOTTENS LÄN</t>
        </is>
      </c>
      <c r="E372" t="inlineStr">
        <is>
          <t>ÄLVSBYN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45424-2023</t>
        </is>
      </c>
      <c r="B373" s="1" t="n">
        <v>45194</v>
      </c>
      <c r="C373" s="1" t="n">
        <v>45505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46404-2023</t>
        </is>
      </c>
      <c r="B374" s="1" t="n">
        <v>45194</v>
      </c>
      <c r="C374" s="1" t="n">
        <v>45505</v>
      </c>
      <c r="D374" t="inlineStr">
        <is>
          <t>NORRBOTTENS LÄN</t>
        </is>
      </c>
      <c r="E374" t="inlineStr">
        <is>
          <t>ÄLVSBYN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45417-2023</t>
        </is>
      </c>
      <c r="B375" s="1" t="n">
        <v>45194</v>
      </c>
      <c r="C375" s="1" t="n">
        <v>45505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46406-2023</t>
        </is>
      </c>
      <c r="B376" s="1" t="n">
        <v>45194</v>
      </c>
      <c r="C376" s="1" t="n">
        <v>45505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47437-2023</t>
        </is>
      </c>
      <c r="B377" s="1" t="n">
        <v>45197</v>
      </c>
      <c r="C377" s="1" t="n">
        <v>45505</v>
      </c>
      <c r="D377" t="inlineStr">
        <is>
          <t>NORRBOTTENS LÄN</t>
        </is>
      </c>
      <c r="E377" t="inlineStr">
        <is>
          <t>ÄLVSBYN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47441-2023</t>
        </is>
      </c>
      <c r="B378" s="1" t="n">
        <v>45197</v>
      </c>
      <c r="C378" s="1" t="n">
        <v>45505</v>
      </c>
      <c r="D378" t="inlineStr">
        <is>
          <t>NORRBOTTENS LÄN</t>
        </is>
      </c>
      <c r="E378" t="inlineStr">
        <is>
          <t>ÄLVSBYN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48362-2023</t>
        </is>
      </c>
      <c r="B379" s="1" t="n">
        <v>45205</v>
      </c>
      <c r="C379" s="1" t="n">
        <v>45505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49568-2023</t>
        </is>
      </c>
      <c r="B380" s="1" t="n">
        <v>45205</v>
      </c>
      <c r="C380" s="1" t="n">
        <v>45505</v>
      </c>
      <c r="D380" t="inlineStr">
        <is>
          <t>NORRBOTTENS LÄN</t>
        </is>
      </c>
      <c r="E380" t="inlineStr">
        <is>
          <t>ÄLVSBYN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49041-2023</t>
        </is>
      </c>
      <c r="B381" s="1" t="n">
        <v>45210</v>
      </c>
      <c r="C381" s="1" t="n">
        <v>45505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49402-2023</t>
        </is>
      </c>
      <c r="B382" s="1" t="n">
        <v>45211</v>
      </c>
      <c r="C382" s="1" t="n">
        <v>45505</v>
      </c>
      <c r="D382" t="inlineStr">
        <is>
          <t>NORRBOTTENS LÄN</t>
        </is>
      </c>
      <c r="E382" t="inlineStr">
        <is>
          <t>ÄLVSBYN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49632-2023</t>
        </is>
      </c>
      <c r="B383" s="1" t="n">
        <v>45212</v>
      </c>
      <c r="C383" s="1" t="n">
        <v>45505</v>
      </c>
      <c r="D383" t="inlineStr">
        <is>
          <t>NORRBOTTENS LÄN</t>
        </is>
      </c>
      <c r="E383" t="inlineStr">
        <is>
          <t>ÄLVSBYN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50212-2023</t>
        </is>
      </c>
      <c r="B384" s="1" t="n">
        <v>45216</v>
      </c>
      <c r="C384" s="1" t="n">
        <v>45505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50478-2023</t>
        </is>
      </c>
      <c r="B385" s="1" t="n">
        <v>45217</v>
      </c>
      <c r="C385" s="1" t="n">
        <v>45505</v>
      </c>
      <c r="D385" t="inlineStr">
        <is>
          <t>NORRBOTTENS LÄN</t>
        </is>
      </c>
      <c r="E385" t="inlineStr">
        <is>
          <t>ÄLVSBYN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50384-2023</t>
        </is>
      </c>
      <c r="B386" s="1" t="n">
        <v>45216</v>
      </c>
      <c r="C386" s="1" t="n">
        <v>45505</v>
      </c>
      <c r="D386" t="inlineStr">
        <is>
          <t>NORRBOTTENS LÄN</t>
        </is>
      </c>
      <c r="E386" t="inlineStr">
        <is>
          <t>ÄLVSBYN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50509-2023</t>
        </is>
      </c>
      <c r="B387" s="1" t="n">
        <v>45216</v>
      </c>
      <c r="C387" s="1" t="n">
        <v>45505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50481-2023</t>
        </is>
      </c>
      <c r="B388" s="1" t="n">
        <v>45216</v>
      </c>
      <c r="C388" s="1" t="n">
        <v>45505</v>
      </c>
      <c r="D388" t="inlineStr">
        <is>
          <t>NORRBOTTENS LÄN</t>
        </is>
      </c>
      <c r="E388" t="inlineStr">
        <is>
          <t>ÄLVSBYN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50479-2023</t>
        </is>
      </c>
      <c r="B389" s="1" t="n">
        <v>45216</v>
      </c>
      <c r="C389" s="1" t="n">
        <v>45505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50375-2023</t>
        </is>
      </c>
      <c r="B390" s="1" t="n">
        <v>45216</v>
      </c>
      <c r="C390" s="1" t="n">
        <v>45505</v>
      </c>
      <c r="D390" t="inlineStr">
        <is>
          <t>NORRBOTTENS LÄN</t>
        </is>
      </c>
      <c r="E390" t="inlineStr">
        <is>
          <t>ÄLVSBYN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50480-2023</t>
        </is>
      </c>
      <c r="B391" s="1" t="n">
        <v>45216</v>
      </c>
      <c r="C391" s="1" t="n">
        <v>45505</v>
      </c>
      <c r="D391" t="inlineStr">
        <is>
          <t>NORRBOTTENS LÄN</t>
        </is>
      </c>
      <c r="E391" t="inlineStr">
        <is>
          <t>ÄLVSBYN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50319-2023</t>
        </is>
      </c>
      <c r="B392" s="1" t="n">
        <v>45216</v>
      </c>
      <c r="C392" s="1" t="n">
        <v>45505</v>
      </c>
      <c r="D392" t="inlineStr">
        <is>
          <t>NORRBOTTENS LÄN</t>
        </is>
      </c>
      <c r="E392" t="inlineStr">
        <is>
          <t>ÄLVSBYN</t>
        </is>
      </c>
      <c r="G392" t="n">
        <v>21.9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51457-2023</t>
        </is>
      </c>
      <c r="B393" s="1" t="n">
        <v>45220</v>
      </c>
      <c r="C393" s="1" t="n">
        <v>45505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51456-2023</t>
        </is>
      </c>
      <c r="B394" s="1" t="n">
        <v>45220</v>
      </c>
      <c r="C394" s="1" t="n">
        <v>45505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51458-2023</t>
        </is>
      </c>
      <c r="B395" s="1" t="n">
        <v>45220</v>
      </c>
      <c r="C395" s="1" t="n">
        <v>45505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51793-2023</t>
        </is>
      </c>
      <c r="B396" s="1" t="n">
        <v>45223</v>
      </c>
      <c r="C396" s="1" t="n">
        <v>45505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51794-2023</t>
        </is>
      </c>
      <c r="B397" s="1" t="n">
        <v>45223</v>
      </c>
      <c r="C397" s="1" t="n">
        <v>45505</v>
      </c>
      <c r="D397" t="inlineStr">
        <is>
          <t>NORRBOTTENS LÄN</t>
        </is>
      </c>
      <c r="E397" t="inlineStr">
        <is>
          <t>ÄLVSBYN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52397-2023</t>
        </is>
      </c>
      <c r="B398" s="1" t="n">
        <v>45224</v>
      </c>
      <c r="C398" s="1" t="n">
        <v>45505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52409-2023</t>
        </is>
      </c>
      <c r="B399" s="1" t="n">
        <v>45225</v>
      </c>
      <c r="C399" s="1" t="n">
        <v>45505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52407-2023</t>
        </is>
      </c>
      <c r="B400" s="1" t="n">
        <v>45224</v>
      </c>
      <c r="C400" s="1" t="n">
        <v>45505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54317-2023</t>
        </is>
      </c>
      <c r="B401" s="1" t="n">
        <v>45232</v>
      </c>
      <c r="C401" s="1" t="n">
        <v>45505</v>
      </c>
      <c r="D401" t="inlineStr">
        <is>
          <t>NORRBOTTENS LÄN</t>
        </is>
      </c>
      <c r="E401" t="inlineStr">
        <is>
          <t>ÄLVSBYN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54975-2023</t>
        </is>
      </c>
      <c r="B402" s="1" t="n">
        <v>45236</v>
      </c>
      <c r="C402" s="1" t="n">
        <v>45505</v>
      </c>
      <c r="D402" t="inlineStr">
        <is>
          <t>NORRBOTTENS LÄN</t>
        </is>
      </c>
      <c r="E402" t="inlineStr">
        <is>
          <t>ÄLVSBYN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57240-2023</t>
        </is>
      </c>
      <c r="B403" s="1" t="n">
        <v>45239</v>
      </c>
      <c r="C403" s="1" t="n">
        <v>45505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57255-2023</t>
        </is>
      </c>
      <c r="B404" s="1" t="n">
        <v>45239</v>
      </c>
      <c r="C404" s="1" t="n">
        <v>45505</v>
      </c>
      <c r="D404" t="inlineStr">
        <is>
          <t>NORRBOTTENS LÄN</t>
        </is>
      </c>
      <c r="E404" t="inlineStr">
        <is>
          <t>ÄLVSBYN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57288-2023</t>
        </is>
      </c>
      <c r="B405" s="1" t="n">
        <v>45239</v>
      </c>
      <c r="C405" s="1" t="n">
        <v>45505</v>
      </c>
      <c r="D405" t="inlineStr">
        <is>
          <t>NORRBOTTENS LÄN</t>
        </is>
      </c>
      <c r="E405" t="inlineStr">
        <is>
          <t>ÄLVSBYN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56849-2023</t>
        </is>
      </c>
      <c r="B406" s="1" t="n">
        <v>45244</v>
      </c>
      <c r="C406" s="1" t="n">
        <v>45505</v>
      </c>
      <c r="D406" t="inlineStr">
        <is>
          <t>NORRBOTTENS LÄN</t>
        </is>
      </c>
      <c r="E406" t="inlineStr">
        <is>
          <t>ÄLVSBYN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57827-2023</t>
        </is>
      </c>
      <c r="B407" s="1" t="n">
        <v>45244</v>
      </c>
      <c r="C407" s="1" t="n">
        <v>45505</v>
      </c>
      <c r="D407" t="inlineStr">
        <is>
          <t>NORRBOTTENS LÄN</t>
        </is>
      </c>
      <c r="E407" t="inlineStr">
        <is>
          <t>ÄLVSBYN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57834-2023</t>
        </is>
      </c>
      <c r="B408" s="1" t="n">
        <v>45244</v>
      </c>
      <c r="C408" s="1" t="n">
        <v>45505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57100-2023</t>
        </is>
      </c>
      <c r="B409" s="1" t="n">
        <v>45245</v>
      </c>
      <c r="C409" s="1" t="n">
        <v>45505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58476-2023</t>
        </is>
      </c>
      <c r="B410" s="1" t="n">
        <v>45246</v>
      </c>
      <c r="C410" s="1" t="n">
        <v>45505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58450-2023</t>
        </is>
      </c>
      <c r="B411" s="1" t="n">
        <v>45250</v>
      </c>
      <c r="C411" s="1" t="n">
        <v>45505</v>
      </c>
      <c r="D411" t="inlineStr">
        <is>
          <t>NORRBOTTENS LÄN</t>
        </is>
      </c>
      <c r="E411" t="inlineStr">
        <is>
          <t>ÄLVSBYN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58448-2023</t>
        </is>
      </c>
      <c r="B412" s="1" t="n">
        <v>45250</v>
      </c>
      <c r="C412" s="1" t="n">
        <v>45505</v>
      </c>
      <c r="D412" t="inlineStr">
        <is>
          <t>NORRBOTTENS LÄN</t>
        </is>
      </c>
      <c r="E412" t="inlineStr">
        <is>
          <t>ÄLVSBYN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58447-2023</t>
        </is>
      </c>
      <c r="B413" s="1" t="n">
        <v>45250</v>
      </c>
      <c r="C413" s="1" t="n">
        <v>45505</v>
      </c>
      <c r="D413" t="inlineStr">
        <is>
          <t>NORRBOTTENS LÄN</t>
        </is>
      </c>
      <c r="E413" t="inlineStr">
        <is>
          <t>ÄLVSBYN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58505-2023</t>
        </is>
      </c>
      <c r="B414" s="1" t="n">
        <v>45251</v>
      </c>
      <c r="C414" s="1" t="n">
        <v>45505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58515-2023</t>
        </is>
      </c>
      <c r="B415" s="1" t="n">
        <v>45251</v>
      </c>
      <c r="C415" s="1" t="n">
        <v>45505</v>
      </c>
      <c r="D415" t="inlineStr">
        <is>
          <t>NORRBOTTENS LÄN</t>
        </is>
      </c>
      <c r="E415" t="inlineStr">
        <is>
          <t>ÄLVSBYN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58919-2023</t>
        </is>
      </c>
      <c r="B416" s="1" t="n">
        <v>45252</v>
      </c>
      <c r="C416" s="1" t="n">
        <v>45505</v>
      </c>
      <c r="D416" t="inlineStr">
        <is>
          <t>NORRBOTTENS LÄN</t>
        </is>
      </c>
      <c r="E416" t="inlineStr">
        <is>
          <t>ÄLVSBYN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59543-2023</t>
        </is>
      </c>
      <c r="B417" s="1" t="n">
        <v>45254</v>
      </c>
      <c r="C417" s="1" t="n">
        <v>45505</v>
      </c>
      <c r="D417" t="inlineStr">
        <is>
          <t>NORRBOTTENS LÄN</t>
        </is>
      </c>
      <c r="E417" t="inlineStr">
        <is>
          <t>ÄLVSBYN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60322-2023</t>
        </is>
      </c>
      <c r="B418" s="1" t="n">
        <v>45258</v>
      </c>
      <c r="C418" s="1" t="n">
        <v>45505</v>
      </c>
      <c r="D418" t="inlineStr">
        <is>
          <t>NORRBOTTENS LÄN</t>
        </is>
      </c>
      <c r="E418" t="inlineStr">
        <is>
          <t>ÄLVSBYN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60500-2023</t>
        </is>
      </c>
      <c r="B419" s="1" t="n">
        <v>45259</v>
      </c>
      <c r="C419" s="1" t="n">
        <v>45505</v>
      </c>
      <c r="D419" t="inlineStr">
        <is>
          <t>NORRBOTTENS LÄN</t>
        </is>
      </c>
      <c r="E419" t="inlineStr">
        <is>
          <t>ÄLVSBYN</t>
        </is>
      </c>
      <c r="G419" t="n">
        <v>18.6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61516-2023</t>
        </is>
      </c>
      <c r="B420" s="1" t="n">
        <v>45265</v>
      </c>
      <c r="C420" s="1" t="n">
        <v>45505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32.6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61520-2023</t>
        </is>
      </c>
      <c r="B421" s="1" t="n">
        <v>45265</v>
      </c>
      <c r="C421" s="1" t="n">
        <v>45505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61524-2023</t>
        </is>
      </c>
      <c r="B422" s="1" t="n">
        <v>45265</v>
      </c>
      <c r="C422" s="1" t="n">
        <v>45505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40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61517-2023</t>
        </is>
      </c>
      <c r="B423" s="1" t="n">
        <v>45265</v>
      </c>
      <c r="C423" s="1" t="n">
        <v>45505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61521-2023</t>
        </is>
      </c>
      <c r="B424" s="1" t="n">
        <v>45265</v>
      </c>
      <c r="C424" s="1" t="n">
        <v>45505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61518-2023</t>
        </is>
      </c>
      <c r="B425" s="1" t="n">
        <v>45265</v>
      </c>
      <c r="C425" s="1" t="n">
        <v>45505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61522-2023</t>
        </is>
      </c>
      <c r="B426" s="1" t="n">
        <v>45265</v>
      </c>
      <c r="C426" s="1" t="n">
        <v>45505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26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62068-2023</t>
        </is>
      </c>
      <c r="B427" s="1" t="n">
        <v>45266</v>
      </c>
      <c r="C427" s="1" t="n">
        <v>45505</v>
      </c>
      <c r="D427" t="inlineStr">
        <is>
          <t>NORRBOTTENS LÄN</t>
        </is>
      </c>
      <c r="E427" t="inlineStr">
        <is>
          <t>ÄLVSBYN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62409-2023</t>
        </is>
      </c>
      <c r="B428" s="1" t="n">
        <v>45266</v>
      </c>
      <c r="C428" s="1" t="n">
        <v>45505</v>
      </c>
      <c r="D428" t="inlineStr">
        <is>
          <t>NORRBOTTENS LÄN</t>
        </is>
      </c>
      <c r="E428" t="inlineStr">
        <is>
          <t>ÄLVSBYN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62406-2023</t>
        </is>
      </c>
      <c r="B429" s="1" t="n">
        <v>45266</v>
      </c>
      <c r="C429" s="1" t="n">
        <v>45505</v>
      </c>
      <c r="D429" t="inlineStr">
        <is>
          <t>NORRBOTTENS LÄN</t>
        </is>
      </c>
      <c r="E429" t="inlineStr">
        <is>
          <t>ÄLVSBYN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62395-2023</t>
        </is>
      </c>
      <c r="B430" s="1" t="n">
        <v>45266</v>
      </c>
      <c r="C430" s="1" t="n">
        <v>45505</v>
      </c>
      <c r="D430" t="inlineStr">
        <is>
          <t>NORRBOTTENS LÄN</t>
        </is>
      </c>
      <c r="E430" t="inlineStr">
        <is>
          <t>ÄLVSBYN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62550-2023</t>
        </is>
      </c>
      <c r="B431" s="1" t="n">
        <v>45268</v>
      </c>
      <c r="C431" s="1" t="n">
        <v>45505</v>
      </c>
      <c r="D431" t="inlineStr">
        <is>
          <t>NORRBOTTENS LÄN</t>
        </is>
      </c>
      <c r="E431" t="inlineStr">
        <is>
          <t>ÄLVSBYN</t>
        </is>
      </c>
      <c r="G431" t="n">
        <v>16.3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62757-2023</t>
        </is>
      </c>
      <c r="B432" s="1" t="n">
        <v>45268</v>
      </c>
      <c r="C432" s="1" t="n">
        <v>45505</v>
      </c>
      <c r="D432" t="inlineStr">
        <is>
          <t>NORRBOTTENS LÄN</t>
        </is>
      </c>
      <c r="E432" t="inlineStr">
        <is>
          <t>ÄLVSBYN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62746-2023</t>
        </is>
      </c>
      <c r="B433" s="1" t="n">
        <v>45268</v>
      </c>
      <c r="C433" s="1" t="n">
        <v>45505</v>
      </c>
      <c r="D433" t="inlineStr">
        <is>
          <t>NORRBOTTENS LÄN</t>
        </is>
      </c>
      <c r="E433" t="inlineStr">
        <is>
          <t>ÄLVSBYN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62696-2023</t>
        </is>
      </c>
      <c r="B434" s="1" t="n">
        <v>45271</v>
      </c>
      <c r="C434" s="1" t="n">
        <v>45505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62880-2023</t>
        </is>
      </c>
      <c r="B435" s="1" t="n">
        <v>45272</v>
      </c>
      <c r="C435" s="1" t="n">
        <v>45505</v>
      </c>
      <c r="D435" t="inlineStr">
        <is>
          <t>NORRBOTTENS LÄN</t>
        </is>
      </c>
      <c r="E435" t="inlineStr">
        <is>
          <t>ÄLVSBYN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63953-2023</t>
        </is>
      </c>
      <c r="B436" s="1" t="n">
        <v>45278</v>
      </c>
      <c r="C436" s="1" t="n">
        <v>45505</v>
      </c>
      <c r="D436" t="inlineStr">
        <is>
          <t>NORRBOTTENS LÄN</t>
        </is>
      </c>
      <c r="E436" t="inlineStr">
        <is>
          <t>ÄLVSBYN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63954-2023</t>
        </is>
      </c>
      <c r="B437" s="1" t="n">
        <v>45278</v>
      </c>
      <c r="C437" s="1" t="n">
        <v>45505</v>
      </c>
      <c r="D437" t="inlineStr">
        <is>
          <t>NORRBOTTENS LÄN</t>
        </is>
      </c>
      <c r="E437" t="inlineStr">
        <is>
          <t>ÄLVSBYN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63927-2023</t>
        </is>
      </c>
      <c r="B438" s="1" t="n">
        <v>45278</v>
      </c>
      <c r="C438" s="1" t="n">
        <v>45505</v>
      </c>
      <c r="D438" t="inlineStr">
        <is>
          <t>NORRBOTTENS LÄN</t>
        </is>
      </c>
      <c r="E438" t="inlineStr">
        <is>
          <t>ÄLVSBYN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64403-2023</t>
        </is>
      </c>
      <c r="B439" s="1" t="n">
        <v>45280</v>
      </c>
      <c r="C439" s="1" t="n">
        <v>45505</v>
      </c>
      <c r="D439" t="inlineStr">
        <is>
          <t>NORRBOTTENS LÄN</t>
        </is>
      </c>
      <c r="E439" t="inlineStr">
        <is>
          <t>ÄLVSBYN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64407-2023</t>
        </is>
      </c>
      <c r="B440" s="1" t="n">
        <v>45280</v>
      </c>
      <c r="C440" s="1" t="n">
        <v>45505</v>
      </c>
      <c r="D440" t="inlineStr">
        <is>
          <t>NORRBOTTENS LÄN</t>
        </is>
      </c>
      <c r="E440" t="inlineStr">
        <is>
          <t>ÄLVSBYN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64472-2023</t>
        </is>
      </c>
      <c r="B441" s="1" t="n">
        <v>45280</v>
      </c>
      <c r="C441" s="1" t="n">
        <v>45505</v>
      </c>
      <c r="D441" t="inlineStr">
        <is>
          <t>NORRBOTTENS LÄN</t>
        </is>
      </c>
      <c r="E441" t="inlineStr">
        <is>
          <t>ÄLVSBYN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64470-2023</t>
        </is>
      </c>
      <c r="B442" s="1" t="n">
        <v>45280</v>
      </c>
      <c r="C442" s="1" t="n">
        <v>45505</v>
      </c>
      <c r="D442" t="inlineStr">
        <is>
          <t>NORRBOTTENS LÄN</t>
        </is>
      </c>
      <c r="E442" t="inlineStr">
        <is>
          <t>ÄLVSBYN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64471-2023</t>
        </is>
      </c>
      <c r="B443" s="1" t="n">
        <v>45280</v>
      </c>
      <c r="C443" s="1" t="n">
        <v>45505</v>
      </c>
      <c r="D443" t="inlineStr">
        <is>
          <t>NORRBOTTENS LÄN</t>
        </is>
      </c>
      <c r="E443" t="inlineStr">
        <is>
          <t>ÄLVSBYN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64473-2023</t>
        </is>
      </c>
      <c r="B444" s="1" t="n">
        <v>45280</v>
      </c>
      <c r="C444" s="1" t="n">
        <v>45505</v>
      </c>
      <c r="D444" t="inlineStr">
        <is>
          <t>NORRBOTTENS LÄN</t>
        </is>
      </c>
      <c r="E444" t="inlineStr">
        <is>
          <t>ÄLVSBYN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64872-2023</t>
        </is>
      </c>
      <c r="B445" s="1" t="n">
        <v>45282</v>
      </c>
      <c r="C445" s="1" t="n">
        <v>45505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64876-2023</t>
        </is>
      </c>
      <c r="B446" s="1" t="n">
        <v>45282</v>
      </c>
      <c r="C446" s="1" t="n">
        <v>45505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64882-2023</t>
        </is>
      </c>
      <c r="B447" s="1" t="n">
        <v>45282</v>
      </c>
      <c r="C447" s="1" t="n">
        <v>45505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404-2024</t>
        </is>
      </c>
      <c r="B448" s="1" t="n">
        <v>45296</v>
      </c>
      <c r="C448" s="1" t="n">
        <v>45505</v>
      </c>
      <c r="D448" t="inlineStr">
        <is>
          <t>NORRBOTTENS LÄN</t>
        </is>
      </c>
      <c r="E448" t="inlineStr">
        <is>
          <t>ÄLVSBYN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594-2024</t>
        </is>
      </c>
      <c r="B449" s="1" t="n">
        <v>45299</v>
      </c>
      <c r="C449" s="1" t="n">
        <v>45505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658-2024</t>
        </is>
      </c>
      <c r="B450" s="1" t="n">
        <v>45299</v>
      </c>
      <c r="C450" s="1" t="n">
        <v>45505</v>
      </c>
      <c r="D450" t="inlineStr">
        <is>
          <t>NORRBOTTENS LÄN</t>
        </is>
      </c>
      <c r="E450" t="inlineStr">
        <is>
          <t>ÄLVSBYN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1200-2024</t>
        </is>
      </c>
      <c r="B451" s="1" t="n">
        <v>45302</v>
      </c>
      <c r="C451" s="1" t="n">
        <v>45505</v>
      </c>
      <c r="D451" t="inlineStr">
        <is>
          <t>NORRBOTTENS LÄN</t>
        </is>
      </c>
      <c r="E451" t="inlineStr">
        <is>
          <t>ÄLVSBYN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1238-2024</t>
        </is>
      </c>
      <c r="B452" s="1" t="n">
        <v>45302</v>
      </c>
      <c r="C452" s="1" t="n">
        <v>45505</v>
      </c>
      <c r="D452" t="inlineStr">
        <is>
          <t>NORRBOTTENS LÄN</t>
        </is>
      </c>
      <c r="E452" t="inlineStr">
        <is>
          <t>ÄLVSBYN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1207-2024</t>
        </is>
      </c>
      <c r="B453" s="1" t="n">
        <v>45302</v>
      </c>
      <c r="C453" s="1" t="n">
        <v>45505</v>
      </c>
      <c r="D453" t="inlineStr">
        <is>
          <t>NORRBOTTENS LÄN</t>
        </is>
      </c>
      <c r="E453" t="inlineStr">
        <is>
          <t>ÄLVSBYN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1486-2024</t>
        </is>
      </c>
      <c r="B454" s="1" t="n">
        <v>45305</v>
      </c>
      <c r="C454" s="1" t="n">
        <v>45505</v>
      </c>
      <c r="D454" t="inlineStr">
        <is>
          <t>NORRBOTTENS LÄN</t>
        </is>
      </c>
      <c r="E454" t="inlineStr">
        <is>
          <t>ÄLVSBYN</t>
        </is>
      </c>
      <c r="G454" t="n">
        <v>92.09999999999999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2324-2024</t>
        </is>
      </c>
      <c r="B455" s="1" t="n">
        <v>45310</v>
      </c>
      <c r="C455" s="1" t="n">
        <v>45505</v>
      </c>
      <c r="D455" t="inlineStr">
        <is>
          <t>NORRBOTTENS LÄN</t>
        </is>
      </c>
      <c r="E455" t="inlineStr">
        <is>
          <t>ÄLVSBYN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2321-2024</t>
        </is>
      </c>
      <c r="B456" s="1" t="n">
        <v>45310</v>
      </c>
      <c r="C456" s="1" t="n">
        <v>45505</v>
      </c>
      <c r="D456" t="inlineStr">
        <is>
          <t>NORRBOTTENS LÄN</t>
        </is>
      </c>
      <c r="E456" t="inlineStr">
        <is>
          <t>ÄLVSBYN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3509-2024</t>
        </is>
      </c>
      <c r="B457" s="1" t="n">
        <v>45320</v>
      </c>
      <c r="C457" s="1" t="n">
        <v>45505</v>
      </c>
      <c r="D457" t="inlineStr">
        <is>
          <t>NORRBOTTENS LÄN</t>
        </is>
      </c>
      <c r="E457" t="inlineStr">
        <is>
          <t>ÄLVSBYN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3984-2024</t>
        </is>
      </c>
      <c r="B458" s="1" t="n">
        <v>45322</v>
      </c>
      <c r="C458" s="1" t="n">
        <v>45505</v>
      </c>
      <c r="D458" t="inlineStr">
        <is>
          <t>NORRBOTTENS LÄN</t>
        </is>
      </c>
      <c r="E458" t="inlineStr">
        <is>
          <t>ÄLVSBYN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4690-2024</t>
        </is>
      </c>
      <c r="B459" s="1" t="n">
        <v>45328</v>
      </c>
      <c r="C459" s="1" t="n">
        <v>45505</v>
      </c>
      <c r="D459" t="inlineStr">
        <is>
          <t>NORRBOTTENS LÄN</t>
        </is>
      </c>
      <c r="E459" t="inlineStr">
        <is>
          <t>ÄLVSBYN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5378-2024</t>
        </is>
      </c>
      <c r="B460" s="1" t="n">
        <v>45331</v>
      </c>
      <c r="C460" s="1" t="n">
        <v>45505</v>
      </c>
      <c r="D460" t="inlineStr">
        <is>
          <t>NORRBOTTENS LÄN</t>
        </is>
      </c>
      <c r="E460" t="inlineStr">
        <is>
          <t>ÄLVSBYN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5389-2024</t>
        </is>
      </c>
      <c r="B461" s="1" t="n">
        <v>45331</v>
      </c>
      <c r="C461" s="1" t="n">
        <v>45505</v>
      </c>
      <c r="D461" t="inlineStr">
        <is>
          <t>NORRBOTTENS LÄN</t>
        </is>
      </c>
      <c r="E461" t="inlineStr">
        <is>
          <t>ÄLVSBYN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5419-2024</t>
        </is>
      </c>
      <c r="B462" s="1" t="n">
        <v>45331</v>
      </c>
      <c r="C462" s="1" t="n">
        <v>45505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5646-2024</t>
        </is>
      </c>
      <c r="B463" s="1" t="n">
        <v>45334</v>
      </c>
      <c r="C463" s="1" t="n">
        <v>45505</v>
      </c>
      <c r="D463" t="inlineStr">
        <is>
          <t>NORRBOTTENS LÄN</t>
        </is>
      </c>
      <c r="E463" t="inlineStr">
        <is>
          <t>ÄLVSBYN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5650-2024</t>
        </is>
      </c>
      <c r="B464" s="1" t="n">
        <v>45334</v>
      </c>
      <c r="C464" s="1" t="n">
        <v>45505</v>
      </c>
      <c r="D464" t="inlineStr">
        <is>
          <t>NORRBOTTENS LÄN</t>
        </is>
      </c>
      <c r="E464" t="inlineStr">
        <is>
          <t>ÄLVSBYN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5628-2024</t>
        </is>
      </c>
      <c r="B465" s="1" t="n">
        <v>45334</v>
      </c>
      <c r="C465" s="1" t="n">
        <v>45505</v>
      </c>
      <c r="D465" t="inlineStr">
        <is>
          <t>NORRBOTTENS LÄN</t>
        </is>
      </c>
      <c r="E465" t="inlineStr">
        <is>
          <t>ÄLVSBYN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5732-2024</t>
        </is>
      </c>
      <c r="B466" s="1" t="n">
        <v>45334</v>
      </c>
      <c r="C466" s="1" t="n">
        <v>45505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5733-2024</t>
        </is>
      </c>
      <c r="B467" s="1" t="n">
        <v>45334</v>
      </c>
      <c r="C467" s="1" t="n">
        <v>45505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6197-2024</t>
        </is>
      </c>
      <c r="B468" s="1" t="n">
        <v>45337</v>
      </c>
      <c r="C468" s="1" t="n">
        <v>45505</v>
      </c>
      <c r="D468" t="inlineStr">
        <is>
          <t>NORRBOTTENS LÄN</t>
        </is>
      </c>
      <c r="E468" t="inlineStr">
        <is>
          <t>ÄLVSBYN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6275-2024</t>
        </is>
      </c>
      <c r="B469" s="1" t="n">
        <v>45337</v>
      </c>
      <c r="C469" s="1" t="n">
        <v>45505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6864-2024</t>
        </is>
      </c>
      <c r="B470" s="1" t="n">
        <v>45342</v>
      </c>
      <c r="C470" s="1" t="n">
        <v>45505</v>
      </c>
      <c r="D470" t="inlineStr">
        <is>
          <t>NORRBOTTENS LÄN</t>
        </is>
      </c>
      <c r="E470" t="inlineStr">
        <is>
          <t>ÄLVSBYN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6899-2024</t>
        </is>
      </c>
      <c r="B471" s="1" t="n">
        <v>45342</v>
      </c>
      <c r="C471" s="1" t="n">
        <v>45505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6866-2024</t>
        </is>
      </c>
      <c r="B472" s="1" t="n">
        <v>45342</v>
      </c>
      <c r="C472" s="1" t="n">
        <v>45505</v>
      </c>
      <c r="D472" t="inlineStr">
        <is>
          <t>NORRBOTTENS LÄN</t>
        </is>
      </c>
      <c r="E472" t="inlineStr">
        <is>
          <t>ÄLVSBYN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7115-2024</t>
        </is>
      </c>
      <c r="B473" s="1" t="n">
        <v>45343</v>
      </c>
      <c r="C473" s="1" t="n">
        <v>45505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7266-2024</t>
        </is>
      </c>
      <c r="B474" s="1" t="n">
        <v>45344</v>
      </c>
      <c r="C474" s="1" t="n">
        <v>45505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7289-2024</t>
        </is>
      </c>
      <c r="B475" s="1" t="n">
        <v>45344</v>
      </c>
      <c r="C475" s="1" t="n">
        <v>45505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7479-2024</t>
        </is>
      </c>
      <c r="B476" s="1" t="n">
        <v>45345</v>
      </c>
      <c r="C476" s="1" t="n">
        <v>45505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8508-2024</t>
        </is>
      </c>
      <c r="B477" s="1" t="n">
        <v>45351</v>
      </c>
      <c r="C477" s="1" t="n">
        <v>45505</v>
      </c>
      <c r="D477" t="inlineStr">
        <is>
          <t>NORRBOTTENS LÄN</t>
        </is>
      </c>
      <c r="E477" t="inlineStr">
        <is>
          <t>ÄLVSBYN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8517-2024</t>
        </is>
      </c>
      <c r="B478" s="1" t="n">
        <v>45351</v>
      </c>
      <c r="C478" s="1" t="n">
        <v>45505</v>
      </c>
      <c r="D478" t="inlineStr">
        <is>
          <t>NORRBOTTENS LÄN</t>
        </is>
      </c>
      <c r="E478" t="inlineStr">
        <is>
          <t>ÄLVSBYN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8638-2024</t>
        </is>
      </c>
      <c r="B479" s="1" t="n">
        <v>45356</v>
      </c>
      <c r="C479" s="1" t="n">
        <v>45505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8646-2024</t>
        </is>
      </c>
      <c r="B480" s="1" t="n">
        <v>45356</v>
      </c>
      <c r="C480" s="1" t="n">
        <v>45505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8867-2024</t>
        </is>
      </c>
      <c r="B481" s="1" t="n">
        <v>45357</v>
      </c>
      <c r="C481" s="1" t="n">
        <v>45505</v>
      </c>
      <c r="D481" t="inlineStr">
        <is>
          <t>NORRBOTTENS LÄN</t>
        </is>
      </c>
      <c r="E481" t="inlineStr">
        <is>
          <t>ÄLVSBYN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9017-2024</t>
        </is>
      </c>
      <c r="B482" s="1" t="n">
        <v>45356</v>
      </c>
      <c r="C482" s="1" t="n">
        <v>45505</v>
      </c>
      <c r="D482" t="inlineStr">
        <is>
          <t>NORRBOTTENS LÄN</t>
        </is>
      </c>
      <c r="E482" t="inlineStr">
        <is>
          <t>ÄLVSBYN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9022-2024</t>
        </is>
      </c>
      <c r="B483" s="1" t="n">
        <v>45356</v>
      </c>
      <c r="C483" s="1" t="n">
        <v>45505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10040-2024</t>
        </is>
      </c>
      <c r="B484" s="1" t="n">
        <v>45364</v>
      </c>
      <c r="C484" s="1" t="n">
        <v>45505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10206-2024</t>
        </is>
      </c>
      <c r="B485" s="1" t="n">
        <v>45364</v>
      </c>
      <c r="C485" s="1" t="n">
        <v>45505</v>
      </c>
      <c r="D485" t="inlineStr">
        <is>
          <t>NORRBOTTENS LÄN</t>
        </is>
      </c>
      <c r="E485" t="inlineStr">
        <is>
          <t>ÄLVSBYN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10249-2024</t>
        </is>
      </c>
      <c r="B486" s="1" t="n">
        <v>45365</v>
      </c>
      <c r="C486" s="1" t="n">
        <v>45505</v>
      </c>
      <c r="D486" t="inlineStr">
        <is>
          <t>NORRBOTTENS LÄN</t>
        </is>
      </c>
      <c r="E486" t="inlineStr">
        <is>
          <t>ÄLVSBYN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10434-2024</t>
        </is>
      </c>
      <c r="B487" s="1" t="n">
        <v>45365</v>
      </c>
      <c r="C487" s="1" t="n">
        <v>45505</v>
      </c>
      <c r="D487" t="inlineStr">
        <is>
          <t>NORRBOTTENS LÄN</t>
        </is>
      </c>
      <c r="E487" t="inlineStr">
        <is>
          <t>ÄLVSBYN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10871-2024</t>
        </is>
      </c>
      <c r="B488" s="1" t="n">
        <v>45370</v>
      </c>
      <c r="C488" s="1" t="n">
        <v>45505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11654-2024</t>
        </is>
      </c>
      <c r="B489" s="1" t="n">
        <v>45373</v>
      </c>
      <c r="C489" s="1" t="n">
        <v>45505</v>
      </c>
      <c r="D489" t="inlineStr">
        <is>
          <t>NORRBOTTENS LÄN</t>
        </is>
      </c>
      <c r="E489" t="inlineStr">
        <is>
          <t>ÄLVSBYN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12440-2024</t>
        </is>
      </c>
      <c r="B490" s="1" t="n">
        <v>45379</v>
      </c>
      <c r="C490" s="1" t="n">
        <v>45505</v>
      </c>
      <c r="D490" t="inlineStr">
        <is>
          <t>NORRBOTTENS LÄN</t>
        </is>
      </c>
      <c r="E490" t="inlineStr">
        <is>
          <t>ÄLVSBYN</t>
        </is>
      </c>
      <c r="F490" t="inlineStr">
        <is>
          <t>Sveaskog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14445-2024</t>
        </is>
      </c>
      <c r="B491" s="1" t="n">
        <v>45394</v>
      </c>
      <c r="C491" s="1" t="n">
        <v>45505</v>
      </c>
      <c r="D491" t="inlineStr">
        <is>
          <t>NORRBOTTENS LÄN</t>
        </is>
      </c>
      <c r="E491" t="inlineStr">
        <is>
          <t>ÄLVSBYN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14470-2024</t>
        </is>
      </c>
      <c r="B492" s="1" t="n">
        <v>45394</v>
      </c>
      <c r="C492" s="1" t="n">
        <v>45505</v>
      </c>
      <c r="D492" t="inlineStr">
        <is>
          <t>NORRBOTTENS LÄN</t>
        </is>
      </c>
      <c r="E492" t="inlineStr">
        <is>
          <t>ÄLVSBYN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14446-2024</t>
        </is>
      </c>
      <c r="B493" s="1" t="n">
        <v>45394</v>
      </c>
      <c r="C493" s="1" t="n">
        <v>45505</v>
      </c>
      <c r="D493" t="inlineStr">
        <is>
          <t>NORRBOTTENS LÄN</t>
        </is>
      </c>
      <c r="E493" t="inlineStr">
        <is>
          <t>ÄLVSBYN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14579-2024</t>
        </is>
      </c>
      <c r="B494" s="1" t="n">
        <v>45395</v>
      </c>
      <c r="C494" s="1" t="n">
        <v>45505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15417-2024</t>
        </is>
      </c>
      <c r="B495" s="1" t="n">
        <v>45401</v>
      </c>
      <c r="C495" s="1" t="n">
        <v>45505</v>
      </c>
      <c r="D495" t="inlineStr">
        <is>
          <t>NORRBOTTENS LÄN</t>
        </is>
      </c>
      <c r="E495" t="inlineStr">
        <is>
          <t>ÄLVSBYN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15401-2024</t>
        </is>
      </c>
      <c r="B496" s="1" t="n">
        <v>45401</v>
      </c>
      <c r="C496" s="1" t="n">
        <v>45505</v>
      </c>
      <c r="D496" t="inlineStr">
        <is>
          <t>NORRBOTTENS LÄN</t>
        </is>
      </c>
      <c r="E496" t="inlineStr">
        <is>
          <t>ÄLVSBYN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15531-2024</t>
        </is>
      </c>
      <c r="B497" s="1" t="n">
        <v>45401</v>
      </c>
      <c r="C497" s="1" t="n">
        <v>45505</v>
      </c>
      <c r="D497" t="inlineStr">
        <is>
          <t>NORRBOTTENS LÄN</t>
        </is>
      </c>
      <c r="E497" t="inlineStr">
        <is>
          <t>ÄLVSBYN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15410-2024</t>
        </is>
      </c>
      <c r="B498" s="1" t="n">
        <v>45401</v>
      </c>
      <c r="C498" s="1" t="n">
        <v>45505</v>
      </c>
      <c r="D498" t="inlineStr">
        <is>
          <t>NORRBOTTENS LÄN</t>
        </is>
      </c>
      <c r="E498" t="inlineStr">
        <is>
          <t>ÄLVSBYN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15845-2024</t>
        </is>
      </c>
      <c r="B499" s="1" t="n">
        <v>45404</v>
      </c>
      <c r="C499" s="1" t="n">
        <v>45505</v>
      </c>
      <c r="D499" t="inlineStr">
        <is>
          <t>NORRBOTTENS LÄN</t>
        </is>
      </c>
      <c r="E499" t="inlineStr">
        <is>
          <t>ÄLVSBYN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15857-2024</t>
        </is>
      </c>
      <c r="B500" s="1" t="n">
        <v>45405</v>
      </c>
      <c r="C500" s="1" t="n">
        <v>45505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15936-2024</t>
        </is>
      </c>
      <c r="B501" s="1" t="n">
        <v>45405</v>
      </c>
      <c r="C501" s="1" t="n">
        <v>45505</v>
      </c>
      <c r="D501" t="inlineStr">
        <is>
          <t>NORRBOTTENS LÄN</t>
        </is>
      </c>
      <c r="E501" t="inlineStr">
        <is>
          <t>ÄLVSBYN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15959-2024</t>
        </is>
      </c>
      <c r="B502" s="1" t="n">
        <v>45405</v>
      </c>
      <c r="C502" s="1" t="n">
        <v>45505</v>
      </c>
      <c r="D502" t="inlineStr">
        <is>
          <t>NORRBOTTENS LÄN</t>
        </is>
      </c>
      <c r="E502" t="inlineStr">
        <is>
          <t>ÄLVSBYN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16057-2024</t>
        </is>
      </c>
      <c r="B503" s="1" t="n">
        <v>45406</v>
      </c>
      <c r="C503" s="1" t="n">
        <v>45505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16054-2024</t>
        </is>
      </c>
      <c r="B504" s="1" t="n">
        <v>45406</v>
      </c>
      <c r="C504" s="1" t="n">
        <v>45505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45505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45505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45505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45505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45505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45505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45505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45505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45505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45505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45505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45505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45505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45505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45505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45505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45505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45505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45505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45505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45505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45505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45505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45505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45505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45505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45505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45505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45505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28358-2024</t>
        </is>
      </c>
      <c r="B534" s="1" t="n">
        <v>45477</v>
      </c>
      <c r="C534" s="1" t="n">
        <v>45505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28513-2024</t>
        </is>
      </c>
      <c r="B535" s="1" t="n">
        <v>45478</v>
      </c>
      <c r="C535" s="1" t="n">
        <v>45505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45505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45505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29111-2024</t>
        </is>
      </c>
      <c r="B538" s="1" t="n">
        <v>45482</v>
      </c>
      <c r="C538" s="1" t="n">
        <v>45505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45505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45505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29683-2024</t>
        </is>
      </c>
      <c r="B541" s="1" t="n">
        <v>45485</v>
      </c>
      <c r="C541" s="1" t="n">
        <v>45505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29682-2024</t>
        </is>
      </c>
      <c r="B542" s="1" t="n">
        <v>45485</v>
      </c>
      <c r="C542" s="1" t="n">
        <v>45505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30499-2024</t>
        </is>
      </c>
      <c r="B543" s="1" t="n">
        <v>45492</v>
      </c>
      <c r="C543" s="1" t="n">
        <v>45505</v>
      </c>
      <c r="D543" t="inlineStr">
        <is>
          <t>NORRBOTTENS LÄN</t>
        </is>
      </c>
      <c r="E543" t="inlineStr">
        <is>
          <t>ÄLVSBYN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45505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45505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30690-2024</t>
        </is>
      </c>
      <c r="B546" s="1" t="n">
        <v>45496</v>
      </c>
      <c r="C546" s="1" t="n">
        <v>45505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30688-2024</t>
        </is>
      </c>
      <c r="B547" s="1" t="n">
        <v>45496</v>
      </c>
      <c r="C547" s="1" t="n">
        <v>45505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2024-08-01T10:44:32Z</dcterms:created>
  <dcterms:modified xmlns:dcterms="http://purl.org/dc/terms/" xmlns:xsi="http://www.w3.org/2001/XMLSchema-instance" xsi:type="dcterms:W3CDTF">2024-08-01T10:44:32Z</dcterms:modified>
</cp:coreProperties>
</file>