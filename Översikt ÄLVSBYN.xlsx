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45913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45913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45913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45913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45913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45913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45913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45913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45913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45913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45913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47132-2023</t>
        </is>
      </c>
      <c r="B23" s="1" t="n">
        <v>45201</v>
      </c>
      <c r="C23" s="1" t="n">
        <v>45913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Motaggsvamp
Skrovlig taggsvamp
Tallriska</t>
        </is>
      </c>
      <c r="S23">
        <f>HYPERLINK("https://klasma.github.io/Logging_2560/artfynd/A 47132-2023 artfynd.xlsx", "A 47132-2023")</f>
        <v/>
      </c>
      <c r="T23">
        <f>HYPERLINK("https://klasma.github.io/Logging_2560/kartor/A 47132-2023 karta.png", "A 47132-2023")</f>
        <v/>
      </c>
      <c r="V23">
        <f>HYPERLINK("https://klasma.github.io/Logging_2560/klagomål/A 47132-2023 FSC-klagomål.docx", "A 47132-2023")</f>
        <v/>
      </c>
      <c r="W23">
        <f>HYPERLINK("https://klasma.github.io/Logging_2560/klagomålsmail/A 47132-2023 FSC-klagomål mail.docx", "A 47132-2023")</f>
        <v/>
      </c>
      <c r="X23">
        <f>HYPERLINK("https://klasma.github.io/Logging_2560/tillsyn/A 47132-2023 tillsynsbegäran.docx", "A 47132-2023")</f>
        <v/>
      </c>
      <c r="Y23">
        <f>HYPERLINK("https://klasma.github.io/Logging_2560/tillsynsmail/A 47132-2023 tillsynsbegäran mail.docx", "A 47132-2023")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45913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45913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45913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45913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45913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45913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45913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45913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45913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45913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55038-2024</t>
        </is>
      </c>
      <c r="B35" s="1" t="n">
        <v>45621</v>
      </c>
      <c r="C35" s="1" t="n">
        <v>45913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55038-2024 artfynd.xlsx", "A 55038-2024")</f>
        <v/>
      </c>
      <c r="T35">
        <f>HYPERLINK("https://klasma.github.io/Logging_2560/kartor/A 55038-2024 karta.png", "A 55038-2024")</f>
        <v/>
      </c>
      <c r="V35">
        <f>HYPERLINK("https://klasma.github.io/Logging_2560/klagomål/A 55038-2024 FSC-klagomål.docx", "A 55038-2024")</f>
        <v/>
      </c>
      <c r="W35">
        <f>HYPERLINK("https://klasma.github.io/Logging_2560/klagomålsmail/A 55038-2024 FSC-klagomål mail.docx", "A 55038-2024")</f>
        <v/>
      </c>
      <c r="X35">
        <f>HYPERLINK("https://klasma.github.io/Logging_2560/tillsyn/A 55038-2024 tillsynsbegäran.docx", "A 55038-2024")</f>
        <v/>
      </c>
      <c r="Y35">
        <f>HYPERLINK("https://klasma.github.io/Logging_2560/tillsynsmail/A 55038-2024 tillsynsbegäran mail.docx", "A 55038-2024")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45913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40118-2025</t>
        </is>
      </c>
      <c r="B37" s="1" t="n">
        <v>45894</v>
      </c>
      <c r="C37" s="1" t="n">
        <v>45913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24.3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Lunglav</t>
        </is>
      </c>
      <c r="S37">
        <f>HYPERLINK("https://klasma.github.io/Logging_2560/artfynd/A 40118-2025 artfynd.xlsx", "A 40118-2025")</f>
        <v/>
      </c>
      <c r="T37">
        <f>HYPERLINK("https://klasma.github.io/Logging_2560/kartor/A 40118-2025 karta.png", "A 40118-2025")</f>
        <v/>
      </c>
      <c r="U37">
        <f>HYPERLINK("https://klasma.github.io/Logging_2560/knärot/A 40118-2025 karta knärot.png", "A 40118-2025")</f>
        <v/>
      </c>
      <c r="V37">
        <f>HYPERLINK("https://klasma.github.io/Logging_2560/klagomål/A 40118-2025 FSC-klagomål.docx", "A 40118-2025")</f>
        <v/>
      </c>
      <c r="W37">
        <f>HYPERLINK("https://klasma.github.io/Logging_2560/klagomålsmail/A 40118-2025 FSC-klagomål mail.docx", "A 40118-2025")</f>
        <v/>
      </c>
      <c r="X37">
        <f>HYPERLINK("https://klasma.github.io/Logging_2560/tillsyn/A 40118-2025 tillsynsbegäran.docx", "A 40118-2025")</f>
        <v/>
      </c>
      <c r="Y37">
        <f>HYPERLINK("https://klasma.github.io/Logging_2560/tillsynsmail/A 40118-2025 tillsynsbegäran mail.docx", "A 40118-2025")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45913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45913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45913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45913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45913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45913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45913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20466-2025</t>
        </is>
      </c>
      <c r="B48" s="1" t="n">
        <v>45775</v>
      </c>
      <c r="C48" s="1" t="n">
        <v>45913</v>
      </c>
      <c r="D48" t="inlineStr">
        <is>
          <t>NORRBOTTENS LÄN</t>
        </is>
      </c>
      <c r="E48" t="inlineStr">
        <is>
          <t>ÄLVSBYN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HYPERLINK("https://klasma.github.io/Logging_2560/artfynd/A 20466-2025 artfynd.xlsx", "A 20466-2025")</f>
        <v/>
      </c>
      <c r="T48">
        <f>HYPERLINK("https://klasma.github.io/Logging_2560/kartor/A 20466-2025 karta.png", "A 20466-2025")</f>
        <v/>
      </c>
      <c r="V48">
        <f>HYPERLINK("https://klasma.github.io/Logging_2560/klagomål/A 20466-2025 FSC-klagomål.docx", "A 20466-2025")</f>
        <v/>
      </c>
      <c r="W48">
        <f>HYPERLINK("https://klasma.github.io/Logging_2560/klagomålsmail/A 20466-2025 FSC-klagomål mail.docx", "A 20466-2025")</f>
        <v/>
      </c>
      <c r="X48">
        <f>HYPERLINK("https://klasma.github.io/Logging_2560/tillsyn/A 20466-2025 tillsynsbegäran.docx", "A 20466-2025")</f>
        <v/>
      </c>
      <c r="Y48">
        <f>HYPERLINK("https://klasma.github.io/Logging_2560/tillsynsmail/A 20466-2025 tillsynsbegäran mail.docx", "A 20466-2025")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45913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45913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45913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45913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45913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45913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45913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57140-2024</t>
        </is>
      </c>
      <c r="B56" s="1" t="n">
        <v>45629</v>
      </c>
      <c r="C56" s="1" t="n">
        <v>45913</v>
      </c>
      <c r="D56" t="inlineStr">
        <is>
          <t>NORRBOTTENS LÄN</t>
        </is>
      </c>
      <c r="E56" t="inlineStr">
        <is>
          <t>ÄLVSBYN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HYPERLINK("https://klasma.github.io/Logging_2560/artfynd/A 57140-2024 artfynd.xlsx", "A 57140-2024")</f>
        <v/>
      </c>
      <c r="T56">
        <f>HYPERLINK("https://klasma.github.io/Logging_2560/kartor/A 57140-2024 karta.png", "A 57140-2024")</f>
        <v/>
      </c>
      <c r="V56">
        <f>HYPERLINK("https://klasma.github.io/Logging_2560/klagomål/A 57140-2024 FSC-klagomål.docx", "A 57140-2024")</f>
        <v/>
      </c>
      <c r="W56">
        <f>HYPERLINK("https://klasma.github.io/Logging_2560/klagomålsmail/A 57140-2024 FSC-klagomål mail.docx", "A 57140-2024")</f>
        <v/>
      </c>
      <c r="X56">
        <f>HYPERLINK("https://klasma.github.io/Logging_2560/tillsyn/A 57140-2024 tillsynsbegäran.docx", "A 57140-2024")</f>
        <v/>
      </c>
      <c r="Y56">
        <f>HYPERLINK("https://klasma.github.io/Logging_2560/tillsynsmail/A 57140-2024 tillsynsbegäran mail.docx", "A 57140-2024")</f>
        <v/>
      </c>
    </row>
    <row r="57" ht="15" customHeight="1">
      <c r="A57" t="inlineStr">
        <is>
          <t>A 39828-2023</t>
        </is>
      </c>
      <c r="B57" s="1" t="n">
        <v>45168</v>
      </c>
      <c r="C57" s="1" t="n">
        <v>45913</v>
      </c>
      <c r="D57" t="inlineStr">
        <is>
          <t>NORRBOTTENS LÄN</t>
        </is>
      </c>
      <c r="E57" t="inlineStr">
        <is>
          <t>ÄLVSBYN</t>
        </is>
      </c>
      <c r="G57" t="n">
        <v>14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HYPERLINK("https://klasma.github.io/Logging_2560/artfynd/A 39828-2023 artfynd.xlsx", "A 39828-2023")</f>
        <v/>
      </c>
      <c r="T57">
        <f>HYPERLINK("https://klasma.github.io/Logging_2560/kartor/A 39828-2023 karta.png", "A 39828-2023")</f>
        <v/>
      </c>
      <c r="V57">
        <f>HYPERLINK("https://klasma.github.io/Logging_2560/klagomål/A 39828-2023 FSC-klagomål.docx", "A 39828-2023")</f>
        <v/>
      </c>
      <c r="W57">
        <f>HYPERLINK("https://klasma.github.io/Logging_2560/klagomålsmail/A 39828-2023 FSC-klagomål mail.docx", "A 39828-2023")</f>
        <v/>
      </c>
      <c r="X57">
        <f>HYPERLINK("https://klasma.github.io/Logging_2560/tillsyn/A 39828-2023 tillsynsbegäran.docx", "A 39828-2023")</f>
        <v/>
      </c>
      <c r="Y57">
        <f>HYPERLINK("https://klasma.github.io/Logging_2560/tillsynsmail/A 39828-2023 tillsynsbegäran mail.docx", "A 39828-2023")</f>
        <v/>
      </c>
    </row>
    <row r="58" ht="15" customHeight="1">
      <c r="A58" t="inlineStr">
        <is>
          <t>A 40463-2023</t>
        </is>
      </c>
      <c r="B58" s="1" t="n">
        <v>45170</v>
      </c>
      <c r="C58" s="1" t="n">
        <v>45913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40463-2023 artfynd.xlsx", "A 40463-2023")</f>
        <v/>
      </c>
      <c r="T58">
        <f>HYPERLINK("https://klasma.github.io/Logging_2560/kartor/A 40463-2023 karta.png", "A 40463-2023")</f>
        <v/>
      </c>
      <c r="V58">
        <f>HYPERLINK("https://klasma.github.io/Logging_2560/klagomål/A 40463-2023 FSC-klagomål.docx", "A 40463-2023")</f>
        <v/>
      </c>
      <c r="W58">
        <f>HYPERLINK("https://klasma.github.io/Logging_2560/klagomålsmail/A 40463-2023 FSC-klagomål mail.docx", "A 40463-2023")</f>
        <v/>
      </c>
      <c r="X58">
        <f>HYPERLINK("https://klasma.github.io/Logging_2560/tillsyn/A 40463-2023 tillsynsbegäran.docx", "A 40463-2023")</f>
        <v/>
      </c>
      <c r="Y58">
        <f>HYPERLINK("https://klasma.github.io/Logging_2560/tillsynsmail/A 40463-2023 tillsynsbegäran mail.docx", "A 40463-2023")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45913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45913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45913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45913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45913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45913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45913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45913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45913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45913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45913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45913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45913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45913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45913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39444-2022</t>
        </is>
      </c>
      <c r="B77" s="1" t="n">
        <v>44818</v>
      </c>
      <c r="C77" s="1" t="n">
        <v>45913</v>
      </c>
      <c r="D77" t="inlineStr">
        <is>
          <t>NORRBOTTENS LÄN</t>
        </is>
      </c>
      <c r="E77" t="inlineStr">
        <is>
          <t>ÄLVSBYN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45913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45913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45913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45913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45913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45913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6820-2022</t>
        </is>
      </c>
      <c r="B85" s="1" t="n">
        <v>44602</v>
      </c>
      <c r="C85" s="1" t="n">
        <v>45913</v>
      </c>
      <c r="D85" t="inlineStr">
        <is>
          <t>NORRBOTTENS LÄN</t>
        </is>
      </c>
      <c r="E85" t="inlineStr">
        <is>
          <t>ÄLVSBYN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17784-2021</t>
        </is>
      </c>
      <c r="B86" s="1" t="n">
        <v>44300</v>
      </c>
      <c r="C86" s="1" t="n">
        <v>45913</v>
      </c>
      <c r="D86" t="inlineStr">
        <is>
          <t>NORRBOTTENS LÄN</t>
        </is>
      </c>
      <c r="E86" t="inlineStr">
        <is>
          <t>ÄLVSBYN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51540-2021</t>
        </is>
      </c>
      <c r="B87" s="1" t="n">
        <v>44462.40960648148</v>
      </c>
      <c r="C87" s="1" t="n">
        <v>45913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45603-2021</t>
        </is>
      </c>
      <c r="B88" s="1" t="n">
        <v>44440.83734953704</v>
      </c>
      <c r="C88" s="1" t="n">
        <v>45913</v>
      </c>
      <c r="D88" t="inlineStr">
        <is>
          <t>NORRBOTTENS LÄN</t>
        </is>
      </c>
      <c r="E88" t="inlineStr">
        <is>
          <t>ÄLVSBYN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65410-2021</t>
        </is>
      </c>
      <c r="B89" s="1" t="n">
        <v>44515.9200462963</v>
      </c>
      <c r="C89" s="1" t="n">
        <v>45913</v>
      </c>
      <c r="D89" t="inlineStr">
        <is>
          <t>NORRBOTTENS LÄN</t>
        </is>
      </c>
      <c r="E89" t="inlineStr">
        <is>
          <t>ÄLVSBYN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39914-2022</t>
        </is>
      </c>
      <c r="B90" s="1" t="n">
        <v>44819.76788194444</v>
      </c>
      <c r="C90" s="1" t="n">
        <v>45913</v>
      </c>
      <c r="D90" t="inlineStr">
        <is>
          <t>NORRBOTTENS LÄN</t>
        </is>
      </c>
      <c r="E90" t="inlineStr">
        <is>
          <t>ÄLVSBYN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34656-2022</t>
        </is>
      </c>
      <c r="B91" s="1" t="n">
        <v>44795</v>
      </c>
      <c r="C91" s="1" t="n">
        <v>45913</v>
      </c>
      <c r="D91" t="inlineStr">
        <is>
          <t>NORRBOTTENS LÄN</t>
        </is>
      </c>
      <c r="E91" t="inlineStr">
        <is>
          <t>ÄLVSBYN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45913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29176-2022</t>
        </is>
      </c>
      <c r="B93" s="1" t="n">
        <v>44750.53711805555</v>
      </c>
      <c r="C93" s="1" t="n">
        <v>45913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5410-2021</t>
        </is>
      </c>
      <c r="B94" s="1" t="n">
        <v>44229</v>
      </c>
      <c r="C94" s="1" t="n">
        <v>45913</v>
      </c>
      <c r="D94" t="inlineStr">
        <is>
          <t>NORRBOTTENS LÄN</t>
        </is>
      </c>
      <c r="E94" t="inlineStr">
        <is>
          <t>ÄLVSBYN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38490-2022</t>
        </is>
      </c>
      <c r="B95" s="1" t="n">
        <v>44813.55563657408</v>
      </c>
      <c r="C95" s="1" t="n">
        <v>45913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42574-2024</t>
        </is>
      </c>
      <c r="B96" s="1" t="n">
        <v>45565.64506944444</v>
      </c>
      <c r="C96" s="1" t="n">
        <v>45913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55078-2024</t>
        </is>
      </c>
      <c r="B97" s="1" t="n">
        <v>45621</v>
      </c>
      <c r="C97" s="1" t="n">
        <v>45913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39645-2024</t>
        </is>
      </c>
      <c r="B98" s="1" t="n">
        <v>45552.46903935185</v>
      </c>
      <c r="C98" s="1" t="n">
        <v>45913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3038-2025</t>
        </is>
      </c>
      <c r="B99" s="1" t="n">
        <v>45678</v>
      </c>
      <c r="C99" s="1" t="n">
        <v>45913</v>
      </c>
      <c r="D99" t="inlineStr">
        <is>
          <t>NORRBOTTENS LÄN</t>
        </is>
      </c>
      <c r="E99" t="inlineStr">
        <is>
          <t>ÄLVSBYN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45913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45913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54317-2023</t>
        </is>
      </c>
      <c r="B102" s="1" t="n">
        <v>45232</v>
      </c>
      <c r="C102" s="1" t="n">
        <v>45913</v>
      </c>
      <c r="D102" t="inlineStr">
        <is>
          <t>NORRBOTTENS LÄN</t>
        </is>
      </c>
      <c r="E102" t="inlineStr">
        <is>
          <t>ÄLVSBYN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12440-2024</t>
        </is>
      </c>
      <c r="B103" s="1" t="n">
        <v>45379</v>
      </c>
      <c r="C103" s="1" t="n">
        <v>45913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10249-2024</t>
        </is>
      </c>
      <c r="B104" s="1" t="n">
        <v>45365.3860300926</v>
      </c>
      <c r="C104" s="1" t="n">
        <v>45913</v>
      </c>
      <c r="D104" t="inlineStr">
        <is>
          <t>NORRBOTTENS LÄN</t>
        </is>
      </c>
      <c r="E104" t="inlineStr">
        <is>
          <t>ÄLVSBYN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20253-2024</t>
        </is>
      </c>
      <c r="B105" s="1" t="n">
        <v>45434</v>
      </c>
      <c r="C105" s="1" t="n">
        <v>45913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10434-2024</t>
        </is>
      </c>
      <c r="B106" s="1" t="n">
        <v>45365</v>
      </c>
      <c r="C106" s="1" t="n">
        <v>45913</v>
      </c>
      <c r="D106" t="inlineStr">
        <is>
          <t>NORRBOTTENS LÄN</t>
        </is>
      </c>
      <c r="E106" t="inlineStr">
        <is>
          <t>ÄLVSBYN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15389-2025</t>
        </is>
      </c>
      <c r="B107" s="1" t="n">
        <v>45747</v>
      </c>
      <c r="C107" s="1" t="n">
        <v>45913</v>
      </c>
      <c r="D107" t="inlineStr">
        <is>
          <t>NORRBOTTENS LÄN</t>
        </is>
      </c>
      <c r="E107" t="inlineStr">
        <is>
          <t>ÄLVSBYN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50310-2024</t>
        </is>
      </c>
      <c r="B108" s="1" t="n">
        <v>45600</v>
      </c>
      <c r="C108" s="1" t="n">
        <v>45913</v>
      </c>
      <c r="D108" t="inlineStr">
        <is>
          <t>NORRBOTTENS LÄN</t>
        </is>
      </c>
      <c r="E108" t="inlineStr">
        <is>
          <t>ÄLVSBYN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42568-2024</t>
        </is>
      </c>
      <c r="B109" s="1" t="n">
        <v>45565</v>
      </c>
      <c r="C109" s="1" t="n">
        <v>45913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4929-2025</t>
        </is>
      </c>
      <c r="B110" s="1" t="n">
        <v>45688.68466435185</v>
      </c>
      <c r="C110" s="1" t="n">
        <v>45913</v>
      </c>
      <c r="D110" t="inlineStr">
        <is>
          <t>NORRBOTTENS LÄN</t>
        </is>
      </c>
      <c r="E110" t="inlineStr">
        <is>
          <t>ÄLVSBYN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4128-2023</t>
        </is>
      </c>
      <c r="B111" s="1" t="n">
        <v>44952</v>
      </c>
      <c r="C111" s="1" t="n">
        <v>45913</v>
      </c>
      <c r="D111" t="inlineStr">
        <is>
          <t>NORRBOTTENS LÄN</t>
        </is>
      </c>
      <c r="E111" t="inlineStr">
        <is>
          <t>ÄLVSBYN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60589-2024</t>
        </is>
      </c>
      <c r="B112" s="1" t="n">
        <v>45642</v>
      </c>
      <c r="C112" s="1" t="n">
        <v>45913</v>
      </c>
      <c r="D112" t="inlineStr">
        <is>
          <t>NORRBOTTENS LÄN</t>
        </is>
      </c>
      <c r="E112" t="inlineStr">
        <is>
          <t>ÄLVSBYN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40284-2024</t>
        </is>
      </c>
      <c r="B113" s="1" t="n">
        <v>45554.66608796296</v>
      </c>
      <c r="C113" s="1" t="n">
        <v>45913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20753-2025</t>
        </is>
      </c>
      <c r="B114" s="1" t="n">
        <v>45776</v>
      </c>
      <c r="C114" s="1" t="n">
        <v>45913</v>
      </c>
      <c r="D114" t="inlineStr">
        <is>
          <t>NORRBOTTENS LÄN</t>
        </is>
      </c>
      <c r="E114" t="inlineStr">
        <is>
          <t>ÄLVSBYN</t>
        </is>
      </c>
      <c r="F114" t="inlineStr">
        <is>
          <t>Övriga Aktiebolag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46308-2022</t>
        </is>
      </c>
      <c r="B115" s="1" t="n">
        <v>44847</v>
      </c>
      <c r="C115" s="1" t="n">
        <v>45913</v>
      </c>
      <c r="D115" t="inlineStr">
        <is>
          <t>NORRBOTTENS LÄN</t>
        </is>
      </c>
      <c r="E115" t="inlineStr">
        <is>
          <t>ÄLVSBYN</t>
        </is>
      </c>
      <c r="G115" t="n">
        <v>18.7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45302-2024</t>
        </is>
      </c>
      <c r="B116" s="1" t="n">
        <v>45576</v>
      </c>
      <c r="C116" s="1" t="n">
        <v>45913</v>
      </c>
      <c r="D116" t="inlineStr">
        <is>
          <t>NORRBOTTENS LÄN</t>
        </is>
      </c>
      <c r="E116" t="inlineStr">
        <is>
          <t>ÄLVSBYN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20879-2025</t>
        </is>
      </c>
      <c r="B117" s="1" t="n">
        <v>45777</v>
      </c>
      <c r="C117" s="1" t="n">
        <v>45913</v>
      </c>
      <c r="D117" t="inlineStr">
        <is>
          <t>NORRBOTTENS LÄN</t>
        </is>
      </c>
      <c r="E117" t="inlineStr">
        <is>
          <t>ÄLVSBYN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14449-2025</t>
        </is>
      </c>
      <c r="B118" s="1" t="n">
        <v>45741</v>
      </c>
      <c r="C118" s="1" t="n">
        <v>45913</v>
      </c>
      <c r="D118" t="inlineStr">
        <is>
          <t>NORRBOTTENS LÄN</t>
        </is>
      </c>
      <c r="E118" t="inlineStr">
        <is>
          <t>ÄLVSBYN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64872-2023</t>
        </is>
      </c>
      <c r="B119" s="1" t="n">
        <v>45282</v>
      </c>
      <c r="C119" s="1" t="n">
        <v>45913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58450-2023</t>
        </is>
      </c>
      <c r="B120" s="1" t="n">
        <v>45250</v>
      </c>
      <c r="C120" s="1" t="n">
        <v>45913</v>
      </c>
      <c r="D120" t="inlineStr">
        <is>
          <t>NORRBOTTENS LÄN</t>
        </is>
      </c>
      <c r="E120" t="inlineStr">
        <is>
          <t>ÄLVSBYN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47371-2024</t>
        </is>
      </c>
      <c r="B121" s="1" t="n">
        <v>45587</v>
      </c>
      <c r="C121" s="1" t="n">
        <v>45913</v>
      </c>
      <c r="D121" t="inlineStr">
        <is>
          <t>NORRBOTTENS LÄN</t>
        </is>
      </c>
      <c r="E121" t="inlineStr">
        <is>
          <t>ÄLVSBYN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20187-2025</t>
        </is>
      </c>
      <c r="B122" s="1" t="n">
        <v>45772</v>
      </c>
      <c r="C122" s="1" t="n">
        <v>45913</v>
      </c>
      <c r="D122" t="inlineStr">
        <is>
          <t>NORRBOTTENS LÄN</t>
        </is>
      </c>
      <c r="E122" t="inlineStr">
        <is>
          <t>ÄLVSBYN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20166-2025</t>
        </is>
      </c>
      <c r="B123" s="1" t="n">
        <v>45772</v>
      </c>
      <c r="C123" s="1" t="n">
        <v>45913</v>
      </c>
      <c r="D123" t="inlineStr">
        <is>
          <t>NORRBOTTENS LÄN</t>
        </is>
      </c>
      <c r="E123" t="inlineStr">
        <is>
          <t>ÄLVSBYN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21990-2025</t>
        </is>
      </c>
      <c r="B124" s="1" t="n">
        <v>45784</v>
      </c>
      <c r="C124" s="1" t="n">
        <v>45913</v>
      </c>
      <c r="D124" t="inlineStr">
        <is>
          <t>NORRBOTTENS LÄN</t>
        </is>
      </c>
      <c r="E124" t="inlineStr">
        <is>
          <t>ÄLVSBYN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20237-2025</t>
        </is>
      </c>
      <c r="B125" s="1" t="n">
        <v>45772</v>
      </c>
      <c r="C125" s="1" t="n">
        <v>45913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2290-2023</t>
        </is>
      </c>
      <c r="B126" s="1" t="n">
        <v>44942</v>
      </c>
      <c r="C126" s="1" t="n">
        <v>45913</v>
      </c>
      <c r="D126" t="inlineStr">
        <is>
          <t>NORRBOTTENS LÄN</t>
        </is>
      </c>
      <c r="E126" t="inlineStr">
        <is>
          <t>ÄLVSBYN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58447-2023</t>
        </is>
      </c>
      <c r="B127" s="1" t="n">
        <v>45250</v>
      </c>
      <c r="C127" s="1" t="n">
        <v>45913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15959-2024</t>
        </is>
      </c>
      <c r="B128" s="1" t="n">
        <v>45405</v>
      </c>
      <c r="C128" s="1" t="n">
        <v>45913</v>
      </c>
      <c r="D128" t="inlineStr">
        <is>
          <t>NORRBOTTENS LÄN</t>
        </is>
      </c>
      <c r="E128" t="inlineStr">
        <is>
          <t>ÄLVSBYN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25420-2024</t>
        </is>
      </c>
      <c r="B129" s="1" t="n">
        <v>45463</v>
      </c>
      <c r="C129" s="1" t="n">
        <v>45913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1486-2024</t>
        </is>
      </c>
      <c r="B130" s="1" t="n">
        <v>45305</v>
      </c>
      <c r="C130" s="1" t="n">
        <v>45913</v>
      </c>
      <c r="D130" t="inlineStr">
        <is>
          <t>NORRBOTTENS LÄN</t>
        </is>
      </c>
      <c r="E130" t="inlineStr">
        <is>
          <t>ÄLVSBYN</t>
        </is>
      </c>
      <c r="G130" t="n">
        <v>92.09999999999999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28862-2024</t>
        </is>
      </c>
      <c r="B131" s="1" t="n">
        <v>45478.92890046296</v>
      </c>
      <c r="C131" s="1" t="n">
        <v>45913</v>
      </c>
      <c r="D131" t="inlineStr">
        <is>
          <t>NORRBOTTENS LÄN</t>
        </is>
      </c>
      <c r="E131" t="inlineStr">
        <is>
          <t>ÄLVSBYN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50672-2024</t>
        </is>
      </c>
      <c r="B132" s="1" t="n">
        <v>45601</v>
      </c>
      <c r="C132" s="1" t="n">
        <v>45913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20243-2025</t>
        </is>
      </c>
      <c r="B133" s="1" t="n">
        <v>45772</v>
      </c>
      <c r="C133" s="1" t="n">
        <v>45913</v>
      </c>
      <c r="D133" t="inlineStr">
        <is>
          <t>NORRBOTTENS LÄN</t>
        </is>
      </c>
      <c r="E133" t="inlineStr">
        <is>
          <t>ÄLVSBYN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47394-2024</t>
        </is>
      </c>
      <c r="B134" s="1" t="n">
        <v>45587.47013888889</v>
      </c>
      <c r="C134" s="1" t="n">
        <v>45913</v>
      </c>
      <c r="D134" t="inlineStr">
        <is>
          <t>NORRBOTTENS LÄN</t>
        </is>
      </c>
      <c r="E134" t="inlineStr">
        <is>
          <t>ÄLVSBYN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27550-2024</t>
        </is>
      </c>
      <c r="B135" s="1" t="n">
        <v>45474</v>
      </c>
      <c r="C135" s="1" t="n">
        <v>45913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59826-2024</t>
        </is>
      </c>
      <c r="B136" s="1" t="n">
        <v>45639</v>
      </c>
      <c r="C136" s="1" t="n">
        <v>45913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41467-2023</t>
        </is>
      </c>
      <c r="B137" s="1" t="n">
        <v>45175</v>
      </c>
      <c r="C137" s="1" t="n">
        <v>45913</v>
      </c>
      <c r="D137" t="inlineStr">
        <is>
          <t>NORRBOTTENS LÄN</t>
        </is>
      </c>
      <c r="E137" t="inlineStr">
        <is>
          <t>ÄLVSBYN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21895-2023</t>
        </is>
      </c>
      <c r="B138" s="1" t="n">
        <v>45068.51972222222</v>
      </c>
      <c r="C138" s="1" t="n">
        <v>45913</v>
      </c>
      <c r="D138" t="inlineStr">
        <is>
          <t>NORRBOTTENS LÄN</t>
        </is>
      </c>
      <c r="E138" t="inlineStr">
        <is>
          <t>ÄLVSBYN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55775-2021</t>
        </is>
      </c>
      <c r="B139" s="1" t="n">
        <v>44476</v>
      </c>
      <c r="C139" s="1" t="n">
        <v>45913</v>
      </c>
      <c r="D139" t="inlineStr">
        <is>
          <t>NORRBOTTENS LÄN</t>
        </is>
      </c>
      <c r="E139" t="inlineStr">
        <is>
          <t>ÄLVSBYN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45913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45913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46786-2024</t>
        </is>
      </c>
      <c r="B142" s="1" t="n">
        <v>45583</v>
      </c>
      <c r="C142" s="1" t="n">
        <v>45913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23150-2025</t>
        </is>
      </c>
      <c r="B143" s="1" t="n">
        <v>45791</v>
      </c>
      <c r="C143" s="1" t="n">
        <v>45913</v>
      </c>
      <c r="D143" t="inlineStr">
        <is>
          <t>NORRBOTTENS LÄN</t>
        </is>
      </c>
      <c r="E143" t="inlineStr">
        <is>
          <t>ÄLVSBYN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45913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39668-2024</t>
        </is>
      </c>
      <c r="B145" s="1" t="n">
        <v>45552</v>
      </c>
      <c r="C145" s="1" t="n">
        <v>45913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32905-2024</t>
        </is>
      </c>
      <c r="B146" s="1" t="n">
        <v>45516</v>
      </c>
      <c r="C146" s="1" t="n">
        <v>45913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45913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23336-2025</t>
        </is>
      </c>
      <c r="B148" s="1" t="n">
        <v>45791.65248842593</v>
      </c>
      <c r="C148" s="1" t="n">
        <v>45913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28314-2024</t>
        </is>
      </c>
      <c r="B149" s="1" t="n">
        <v>45477</v>
      </c>
      <c r="C149" s="1" t="n">
        <v>45913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52327-2022</t>
        </is>
      </c>
      <c r="B150" s="1" t="n">
        <v>44873</v>
      </c>
      <c r="C150" s="1" t="n">
        <v>45913</v>
      </c>
      <c r="D150" t="inlineStr">
        <is>
          <t>NORRBOTTENS LÄN</t>
        </is>
      </c>
      <c r="E150" t="inlineStr">
        <is>
          <t>ÄLVSBYN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61518-2023</t>
        </is>
      </c>
      <c r="B151" s="1" t="n">
        <v>45265.33850694444</v>
      </c>
      <c r="C151" s="1" t="n">
        <v>45913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60773-2024</t>
        </is>
      </c>
      <c r="B152" s="1" t="n">
        <v>45644.58398148148</v>
      </c>
      <c r="C152" s="1" t="n">
        <v>45913</v>
      </c>
      <c r="D152" t="inlineStr">
        <is>
          <t>NORRBOTTENS LÄN</t>
        </is>
      </c>
      <c r="E152" t="inlineStr">
        <is>
          <t>ÄLVSBYN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45913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45913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57214-2022</t>
        </is>
      </c>
      <c r="B155" s="1" t="n">
        <v>44895.65135416666</v>
      </c>
      <c r="C155" s="1" t="n">
        <v>45913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57233-2022</t>
        </is>
      </c>
      <c r="B156" s="1" t="n">
        <v>44895.67405092593</v>
      </c>
      <c r="C156" s="1" t="n">
        <v>45913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34448-2024</t>
        </is>
      </c>
      <c r="B157" s="1" t="n">
        <v>45525</v>
      </c>
      <c r="C157" s="1" t="n">
        <v>45913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73774-2021</t>
        </is>
      </c>
      <c r="B158" s="1" t="n">
        <v>44552</v>
      </c>
      <c r="C158" s="1" t="n">
        <v>45913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29683-2024</t>
        </is>
      </c>
      <c r="B159" s="1" t="n">
        <v>45484</v>
      </c>
      <c r="C159" s="1" t="n">
        <v>45913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55873-2020</t>
        </is>
      </c>
      <c r="B160" s="1" t="n">
        <v>44131</v>
      </c>
      <c r="C160" s="1" t="n">
        <v>45913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24716-2025</t>
        </is>
      </c>
      <c r="B161" s="1" t="n">
        <v>45798.99405092592</v>
      </c>
      <c r="C161" s="1" t="n">
        <v>45913</v>
      </c>
      <c r="D161" t="inlineStr">
        <is>
          <t>NORRBOTTENS LÄN</t>
        </is>
      </c>
      <c r="E161" t="inlineStr">
        <is>
          <t>ÄLVSBYN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44213-2024</t>
        </is>
      </c>
      <c r="B162" s="1" t="n">
        <v>45573</v>
      </c>
      <c r="C162" s="1" t="n">
        <v>45913</v>
      </c>
      <c r="D162" t="inlineStr">
        <is>
          <t>NORRBOTTENS LÄN</t>
        </is>
      </c>
      <c r="E162" t="inlineStr">
        <is>
          <t>ÄLVSBYN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20254-2024</t>
        </is>
      </c>
      <c r="B163" s="1" t="n">
        <v>45434</v>
      </c>
      <c r="C163" s="1" t="n">
        <v>45913</v>
      </c>
      <c r="D163" t="inlineStr">
        <is>
          <t>NORRBOTTENS LÄN</t>
        </is>
      </c>
      <c r="E163" t="inlineStr">
        <is>
          <t>ÄLVSBYN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39378-2023</t>
        </is>
      </c>
      <c r="B164" s="1" t="n">
        <v>45166.6403125</v>
      </c>
      <c r="C164" s="1" t="n">
        <v>45913</v>
      </c>
      <c r="D164" t="inlineStr">
        <is>
          <t>NORRBOTTENS LÄN</t>
        </is>
      </c>
      <c r="E164" t="inlineStr">
        <is>
          <t>ÄLVSBYN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25621-2025</t>
        </is>
      </c>
      <c r="B165" s="1" t="n">
        <v>45803</v>
      </c>
      <c r="C165" s="1" t="n">
        <v>45913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21548-2025</t>
        </is>
      </c>
      <c r="B166" s="1" t="n">
        <v>45782</v>
      </c>
      <c r="C166" s="1" t="n">
        <v>45913</v>
      </c>
      <c r="D166" t="inlineStr">
        <is>
          <t>NORRBOTTENS LÄN</t>
        </is>
      </c>
      <c r="E166" t="inlineStr">
        <is>
          <t>ÄLVSBYN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25622-2025</t>
        </is>
      </c>
      <c r="B167" s="1" t="n">
        <v>45803.57784722222</v>
      </c>
      <c r="C167" s="1" t="n">
        <v>45913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21545-2025</t>
        </is>
      </c>
      <c r="B168" s="1" t="n">
        <v>45782</v>
      </c>
      <c r="C168" s="1" t="n">
        <v>45913</v>
      </c>
      <c r="D168" t="inlineStr">
        <is>
          <t>NORRBOTTENS LÄN</t>
        </is>
      </c>
      <c r="E168" t="inlineStr">
        <is>
          <t>ÄLVSBYN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45913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9631-2022</t>
        </is>
      </c>
      <c r="B170" s="1" t="n">
        <v>44617</v>
      </c>
      <c r="C170" s="1" t="n">
        <v>45913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25947-2025</t>
        </is>
      </c>
      <c r="B171" s="1" t="n">
        <v>45804</v>
      </c>
      <c r="C171" s="1" t="n">
        <v>45913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45913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45913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26083-2025</t>
        </is>
      </c>
      <c r="B174" s="1" t="n">
        <v>45805.34427083333</v>
      </c>
      <c r="C174" s="1" t="n">
        <v>45913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46406-2023</t>
        </is>
      </c>
      <c r="B175" s="1" t="n">
        <v>45194</v>
      </c>
      <c r="C175" s="1" t="n">
        <v>45913</v>
      </c>
      <c r="D175" t="inlineStr">
        <is>
          <t>NORRBOTTENS LÄN</t>
        </is>
      </c>
      <c r="E175" t="inlineStr">
        <is>
          <t>ÄLVSBYN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45913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26087-2025</t>
        </is>
      </c>
      <c r="B177" s="1" t="n">
        <v>45805.34486111111</v>
      </c>
      <c r="C177" s="1" t="n">
        <v>45913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45913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26595-2025</t>
        </is>
      </c>
      <c r="B179" s="1" t="n">
        <v>45808.42758101852</v>
      </c>
      <c r="C179" s="1" t="n">
        <v>45913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26599-2025</t>
        </is>
      </c>
      <c r="B180" s="1" t="n">
        <v>45808</v>
      </c>
      <c r="C180" s="1" t="n">
        <v>45913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45913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8551-2025</t>
        </is>
      </c>
      <c r="B182" s="1" t="n">
        <v>45709</v>
      </c>
      <c r="C182" s="1" t="n">
        <v>45913</v>
      </c>
      <c r="D182" t="inlineStr">
        <is>
          <t>NORRBOTTENS LÄN</t>
        </is>
      </c>
      <c r="E182" t="inlineStr">
        <is>
          <t>ÄLVSBYN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8554-2025</t>
        </is>
      </c>
      <c r="B183" s="1" t="n">
        <v>45709</v>
      </c>
      <c r="C183" s="1" t="n">
        <v>45913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39604-2024</t>
        </is>
      </c>
      <c r="B184" s="1" t="n">
        <v>45552.38583333333</v>
      </c>
      <c r="C184" s="1" t="n">
        <v>45913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45913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51794-2023</t>
        </is>
      </c>
      <c r="B186" s="1" t="n">
        <v>45222.92427083333</v>
      </c>
      <c r="C186" s="1" t="n">
        <v>45913</v>
      </c>
      <c r="D186" t="inlineStr">
        <is>
          <t>NORRBOTTENS LÄN</t>
        </is>
      </c>
      <c r="E186" t="inlineStr">
        <is>
          <t>ÄLVSBYN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27280-2025</t>
        </is>
      </c>
      <c r="B187" s="1" t="n">
        <v>45812</v>
      </c>
      <c r="C187" s="1" t="n">
        <v>45913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31900-2024</t>
        </is>
      </c>
      <c r="B188" s="1" t="n">
        <v>45510.31917824074</v>
      </c>
      <c r="C188" s="1" t="n">
        <v>45913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44580.92210648148</v>
      </c>
      <c r="C189" s="1" t="n">
        <v>45913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45913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5069-2025</t>
        </is>
      </c>
      <c r="B191" s="1" t="n">
        <v>45691</v>
      </c>
      <c r="C191" s="1" t="n">
        <v>45913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41845-2024</t>
        </is>
      </c>
      <c r="B192" s="1" t="n">
        <v>45561</v>
      </c>
      <c r="C192" s="1" t="n">
        <v>45913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55181-2024</t>
        </is>
      </c>
      <c r="B193" s="1" t="n">
        <v>45621.53268518519</v>
      </c>
      <c r="C193" s="1" t="n">
        <v>45913</v>
      </c>
      <c r="D193" t="inlineStr">
        <is>
          <t>NORRBOTTENS LÄN</t>
        </is>
      </c>
      <c r="E193" t="inlineStr">
        <is>
          <t>ÄLVSBYN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43776-2024</t>
        </is>
      </c>
      <c r="B194" s="1" t="n">
        <v>45570</v>
      </c>
      <c r="C194" s="1" t="n">
        <v>45913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42477-2024</t>
        </is>
      </c>
      <c r="B195" s="1" t="n">
        <v>45565</v>
      </c>
      <c r="C195" s="1" t="n">
        <v>45913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31051-2023</t>
        </is>
      </c>
      <c r="B196" s="1" t="n">
        <v>45113</v>
      </c>
      <c r="C196" s="1" t="n">
        <v>45913</v>
      </c>
      <c r="D196" t="inlineStr">
        <is>
          <t>NORRBOTTENS LÄN</t>
        </is>
      </c>
      <c r="E196" t="inlineStr">
        <is>
          <t>ÄLVSBYN</t>
        </is>
      </c>
      <c r="F196" t="inlineStr">
        <is>
          <t>Övriga Aktiebolag</t>
        </is>
      </c>
      <c r="G196" t="n">
        <v>24.7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60403-2022</t>
        </is>
      </c>
      <c r="B197" s="1" t="n">
        <v>44910.92222222222</v>
      </c>
      <c r="C197" s="1" t="n">
        <v>45913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46404-2023</t>
        </is>
      </c>
      <c r="B198" s="1" t="n">
        <v>45194</v>
      </c>
      <c r="C198" s="1" t="n">
        <v>45913</v>
      </c>
      <c r="D198" t="inlineStr">
        <is>
          <t>NORRBOTTENS LÄN</t>
        </is>
      </c>
      <c r="E198" t="inlineStr">
        <is>
          <t>ÄLVSBYN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24760-2022</t>
        </is>
      </c>
      <c r="B199" s="1" t="n">
        <v>44728</v>
      </c>
      <c r="C199" s="1" t="n">
        <v>45913</v>
      </c>
      <c r="D199" t="inlineStr">
        <is>
          <t>NORRBOTTENS LÄN</t>
        </is>
      </c>
      <c r="E199" t="inlineStr">
        <is>
          <t>ÄLVSBYN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45913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2595-2023</t>
        </is>
      </c>
      <c r="B201" s="1" t="n">
        <v>44943</v>
      </c>
      <c r="C201" s="1" t="n">
        <v>45913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29022-2025</t>
        </is>
      </c>
      <c r="B202" s="1" t="n">
        <v>45821.4296412037</v>
      </c>
      <c r="C202" s="1" t="n">
        <v>45913</v>
      </c>
      <c r="D202" t="inlineStr">
        <is>
          <t>NORRBOTTENS LÄN</t>
        </is>
      </c>
      <c r="E202" t="inlineStr">
        <is>
          <t>ÄLVSBYN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31452-2024</t>
        </is>
      </c>
      <c r="B203" s="1" t="n">
        <v>45505</v>
      </c>
      <c r="C203" s="1" t="n">
        <v>45913</v>
      </c>
      <c r="D203" t="inlineStr">
        <is>
          <t>NORRBOTTENS LÄN</t>
        </is>
      </c>
      <c r="E203" t="inlineStr">
        <is>
          <t>ÄLVSBYN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58919-2023</t>
        </is>
      </c>
      <c r="B204" s="1" t="n">
        <v>45252</v>
      </c>
      <c r="C204" s="1" t="n">
        <v>45913</v>
      </c>
      <c r="D204" t="inlineStr">
        <is>
          <t>NORRBOTTENS LÄN</t>
        </is>
      </c>
      <c r="E204" t="inlineStr">
        <is>
          <t>ÄLVSBYN</t>
        </is>
      </c>
      <c r="G204" t="n">
        <v>25.1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45424-2023</t>
        </is>
      </c>
      <c r="B205" s="1" t="n">
        <v>45194</v>
      </c>
      <c r="C205" s="1" t="n">
        <v>45913</v>
      </c>
      <c r="D205" t="inlineStr">
        <is>
          <t>NORRBOTTENS LÄN</t>
        </is>
      </c>
      <c r="E205" t="inlineStr">
        <is>
          <t>ÄLVSBYN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10269-2025</t>
        </is>
      </c>
      <c r="B206" s="1" t="n">
        <v>45720</v>
      </c>
      <c r="C206" s="1" t="n">
        <v>45913</v>
      </c>
      <c r="D206" t="inlineStr">
        <is>
          <t>NORRBOTTENS LÄN</t>
        </is>
      </c>
      <c r="E206" t="inlineStr">
        <is>
          <t>ÄLVSBYN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29743-2025</t>
        </is>
      </c>
      <c r="B207" s="1" t="n">
        <v>45825</v>
      </c>
      <c r="C207" s="1" t="n">
        <v>45913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34.6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48835-2024</t>
        </is>
      </c>
      <c r="B208" s="1" t="n">
        <v>45593</v>
      </c>
      <c r="C208" s="1" t="n">
        <v>45913</v>
      </c>
      <c r="D208" t="inlineStr">
        <is>
          <t>NORRBOTTENS LÄN</t>
        </is>
      </c>
      <c r="E208" t="inlineStr">
        <is>
          <t>ÄLVSBYN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58315-2024</t>
        </is>
      </c>
      <c r="B209" s="1" t="n">
        <v>45632</v>
      </c>
      <c r="C209" s="1" t="n">
        <v>45913</v>
      </c>
      <c r="D209" t="inlineStr">
        <is>
          <t>NORRBOTTENS LÄN</t>
        </is>
      </c>
      <c r="E209" t="inlineStr">
        <is>
          <t>ÄLVSBYN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52397-2023</t>
        </is>
      </c>
      <c r="B210" s="1" t="n">
        <v>45224</v>
      </c>
      <c r="C210" s="1" t="n">
        <v>45913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63954-2023</t>
        </is>
      </c>
      <c r="B211" s="1" t="n">
        <v>45278</v>
      </c>
      <c r="C211" s="1" t="n">
        <v>45913</v>
      </c>
      <c r="D211" t="inlineStr">
        <is>
          <t>NORRBOTTENS LÄN</t>
        </is>
      </c>
      <c r="E211" t="inlineStr">
        <is>
          <t>ÄLVSBYN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30147-2025</t>
        </is>
      </c>
      <c r="B212" s="1" t="n">
        <v>45827</v>
      </c>
      <c r="C212" s="1" t="n">
        <v>45913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16473-2025</t>
        </is>
      </c>
      <c r="B213" s="1" t="n">
        <v>45751.55675925926</v>
      </c>
      <c r="C213" s="1" t="n">
        <v>45913</v>
      </c>
      <c r="D213" t="inlineStr">
        <is>
          <t>NORRBOTTENS LÄN</t>
        </is>
      </c>
      <c r="E213" t="inlineStr">
        <is>
          <t>ÄLVSBYN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30967-2025</t>
        </is>
      </c>
      <c r="B214" s="1" t="n">
        <v>45832.45363425926</v>
      </c>
      <c r="C214" s="1" t="n">
        <v>45913</v>
      </c>
      <c r="D214" t="inlineStr">
        <is>
          <t>NORRBOTTENS LÄN</t>
        </is>
      </c>
      <c r="E214" t="inlineStr">
        <is>
          <t>ÄLVSBYN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7266-2024</t>
        </is>
      </c>
      <c r="B215" s="1" t="n">
        <v>45344.82890046296</v>
      </c>
      <c r="C215" s="1" t="n">
        <v>45913</v>
      </c>
      <c r="D215" t="inlineStr">
        <is>
          <t>NORRBOTTENS LÄN</t>
        </is>
      </c>
      <c r="E215" t="inlineStr">
        <is>
          <t>ÄLVSBYN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30912-2025</t>
        </is>
      </c>
      <c r="B216" s="1" t="n">
        <v>45832.37572916667</v>
      </c>
      <c r="C216" s="1" t="n">
        <v>45913</v>
      </c>
      <c r="D216" t="inlineStr">
        <is>
          <t>NORRBOTTENS LÄN</t>
        </is>
      </c>
      <c r="E216" t="inlineStr">
        <is>
          <t>ÄLVSBYN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31157-2025</t>
        </is>
      </c>
      <c r="B217" s="1" t="n">
        <v>45832.65146990741</v>
      </c>
      <c r="C217" s="1" t="n">
        <v>45913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31013-2025</t>
        </is>
      </c>
      <c r="B218" s="1" t="n">
        <v>45832.50912037037</v>
      </c>
      <c r="C218" s="1" t="n">
        <v>45913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30526-2025</t>
        </is>
      </c>
      <c r="B219" s="1" t="n">
        <v>45831.35650462963</v>
      </c>
      <c r="C219" s="1" t="n">
        <v>45913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33848-2022</t>
        </is>
      </c>
      <c r="B220" s="1" t="n">
        <v>44790</v>
      </c>
      <c r="C220" s="1" t="n">
        <v>45913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30893-2025</t>
        </is>
      </c>
      <c r="B221" s="1" t="n">
        <v>45832.34675925926</v>
      </c>
      <c r="C221" s="1" t="n">
        <v>45913</v>
      </c>
      <c r="D221" t="inlineStr">
        <is>
          <t>NORRBOTTENS LÄN</t>
        </is>
      </c>
      <c r="E221" t="inlineStr">
        <is>
          <t>ÄLVSBYN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58448-2023</t>
        </is>
      </c>
      <c r="B222" s="1" t="n">
        <v>45250</v>
      </c>
      <c r="C222" s="1" t="n">
        <v>45913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64407-2023</t>
        </is>
      </c>
      <c r="B223" s="1" t="n">
        <v>45280.62268518518</v>
      </c>
      <c r="C223" s="1" t="n">
        <v>45913</v>
      </c>
      <c r="D223" t="inlineStr">
        <is>
          <t>NORRBOTTENS LÄN</t>
        </is>
      </c>
      <c r="E223" t="inlineStr">
        <is>
          <t>ÄLVSBYN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36756-2025</t>
        </is>
      </c>
      <c r="B224" s="1" t="n">
        <v>45873</v>
      </c>
      <c r="C224" s="1" t="n">
        <v>45913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31563-2025</t>
        </is>
      </c>
      <c r="B225" s="1" t="n">
        <v>45833.65652777778</v>
      </c>
      <c r="C225" s="1" t="n">
        <v>45913</v>
      </c>
      <c r="D225" t="inlineStr">
        <is>
          <t>NORRBOTTENS LÄN</t>
        </is>
      </c>
      <c r="E225" t="inlineStr">
        <is>
          <t>ÄLVSBYN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31565-2025</t>
        </is>
      </c>
      <c r="B226" s="1" t="n">
        <v>45833.65660879629</v>
      </c>
      <c r="C226" s="1" t="n">
        <v>45913</v>
      </c>
      <c r="D226" t="inlineStr">
        <is>
          <t>NORRBOTTENS LÄN</t>
        </is>
      </c>
      <c r="E226" t="inlineStr">
        <is>
          <t>ÄLVSBYN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36758-2025</t>
        </is>
      </c>
      <c r="B227" s="1" t="n">
        <v>45873</v>
      </c>
      <c r="C227" s="1" t="n">
        <v>45913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31546-2025</t>
        </is>
      </c>
      <c r="B228" s="1" t="n">
        <v>45833.63626157407</v>
      </c>
      <c r="C228" s="1" t="n">
        <v>45913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18958-2025</t>
        </is>
      </c>
      <c r="B229" s="1" t="n">
        <v>45764</v>
      </c>
      <c r="C229" s="1" t="n">
        <v>45913</v>
      </c>
      <c r="D229" t="inlineStr">
        <is>
          <t>NORRBOTTENS LÄN</t>
        </is>
      </c>
      <c r="E229" t="inlineStr">
        <is>
          <t>ÄLVSBYN</t>
        </is>
      </c>
      <c r="G229" t="n">
        <v>16.1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404-2024</t>
        </is>
      </c>
      <c r="B230" s="1" t="n">
        <v>45296</v>
      </c>
      <c r="C230" s="1" t="n">
        <v>45913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46784-2024</t>
        </is>
      </c>
      <c r="B231" s="1" t="n">
        <v>45583.52376157408</v>
      </c>
      <c r="C231" s="1" t="n">
        <v>45913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21677-2023</t>
        </is>
      </c>
      <c r="B232" s="1" t="n">
        <v>45063.94185185185</v>
      </c>
      <c r="C232" s="1" t="n">
        <v>45913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64403-2023</t>
        </is>
      </c>
      <c r="B233" s="1" t="n">
        <v>45280.6125</v>
      </c>
      <c r="C233" s="1" t="n">
        <v>45913</v>
      </c>
      <c r="D233" t="inlineStr">
        <is>
          <t>NORRBOTTENS LÄN</t>
        </is>
      </c>
      <c r="E233" t="inlineStr">
        <is>
          <t>ÄLVSBYN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7289-2024</t>
        </is>
      </c>
      <c r="B234" s="1" t="n">
        <v>45344</v>
      </c>
      <c r="C234" s="1" t="n">
        <v>45913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5455-2021</t>
        </is>
      </c>
      <c r="B235" s="1" t="n">
        <v>44229</v>
      </c>
      <c r="C235" s="1" t="n">
        <v>45913</v>
      </c>
      <c r="D235" t="inlineStr">
        <is>
          <t>NORRBOTTENS LÄN</t>
        </is>
      </c>
      <c r="E235" t="inlineStr">
        <is>
          <t>ÄLVSBYN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25455-2022</t>
        </is>
      </c>
      <c r="B236" s="1" t="n">
        <v>44732</v>
      </c>
      <c r="C236" s="1" t="n">
        <v>45913</v>
      </c>
      <c r="D236" t="inlineStr">
        <is>
          <t>NORRBOTTENS LÄN</t>
        </is>
      </c>
      <c r="E236" t="inlineStr">
        <is>
          <t>ÄLVSBYN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57139-2024</t>
        </is>
      </c>
      <c r="B237" s="1" t="n">
        <v>45629</v>
      </c>
      <c r="C237" s="1" t="n">
        <v>45913</v>
      </c>
      <c r="D237" t="inlineStr">
        <is>
          <t>NORRBOTTENS LÄN</t>
        </is>
      </c>
      <c r="E237" t="inlineStr">
        <is>
          <t>ÄLVSBYN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45913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58515-2023</t>
        </is>
      </c>
      <c r="B239" s="1" t="n">
        <v>45251</v>
      </c>
      <c r="C239" s="1" t="n">
        <v>45913</v>
      </c>
      <c r="D239" t="inlineStr">
        <is>
          <t>NORRBOTTENS LÄN</t>
        </is>
      </c>
      <c r="E239" t="inlineStr">
        <is>
          <t>ÄLVSBYN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33336-2024</t>
        </is>
      </c>
      <c r="B240" s="1" t="n">
        <v>45519.31964120371</v>
      </c>
      <c r="C240" s="1" t="n">
        <v>45913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48742-2022</t>
        </is>
      </c>
      <c r="B241" s="1" t="n">
        <v>44855</v>
      </c>
      <c r="C241" s="1" t="n">
        <v>45913</v>
      </c>
      <c r="D241" t="inlineStr">
        <is>
          <t>NORRBOTTENS LÄN</t>
        </is>
      </c>
      <c r="E241" t="inlineStr">
        <is>
          <t>ÄLVSBYN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32552-2025</t>
        </is>
      </c>
      <c r="B242" s="1" t="n">
        <v>45838</v>
      </c>
      <c r="C242" s="1" t="n">
        <v>45913</v>
      </c>
      <c r="D242" t="inlineStr">
        <is>
          <t>NORRBOTTENS LÄN</t>
        </is>
      </c>
      <c r="E242" t="inlineStr">
        <is>
          <t>ÄLVSBYN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15251-2023</t>
        </is>
      </c>
      <c r="B243" s="1" t="n">
        <v>45016</v>
      </c>
      <c r="C243" s="1" t="n">
        <v>45913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32195-2024</t>
        </is>
      </c>
      <c r="B244" s="1" t="n">
        <v>45511</v>
      </c>
      <c r="C244" s="1" t="n">
        <v>45913</v>
      </c>
      <c r="D244" t="inlineStr">
        <is>
          <t>NORRBOTTENS LÄN</t>
        </is>
      </c>
      <c r="E244" t="inlineStr">
        <is>
          <t>ÄLVSBYN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58007-2024</t>
        </is>
      </c>
      <c r="B245" s="1" t="n">
        <v>45631</v>
      </c>
      <c r="C245" s="1" t="n">
        <v>45913</v>
      </c>
      <c r="D245" t="inlineStr">
        <is>
          <t>NORRBOTTENS LÄN</t>
        </is>
      </c>
      <c r="E245" t="inlineStr">
        <is>
          <t>ÄLVSBYN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62406-2023</t>
        </is>
      </c>
      <c r="B246" s="1" t="n">
        <v>45266</v>
      </c>
      <c r="C246" s="1" t="n">
        <v>45913</v>
      </c>
      <c r="D246" t="inlineStr">
        <is>
          <t>NORRBOTTENS LÄN</t>
        </is>
      </c>
      <c r="E246" t="inlineStr">
        <is>
          <t>ÄLVSBYN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39005-2023</t>
        </is>
      </c>
      <c r="B247" s="1" t="n">
        <v>45162</v>
      </c>
      <c r="C247" s="1" t="n">
        <v>45913</v>
      </c>
      <c r="D247" t="inlineStr">
        <is>
          <t>NORRBOTTENS LÄN</t>
        </is>
      </c>
      <c r="E247" t="inlineStr">
        <is>
          <t>ÄLVSBYN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42558-2024</t>
        </is>
      </c>
      <c r="B248" s="1" t="n">
        <v>45565</v>
      </c>
      <c r="C248" s="1" t="n">
        <v>45913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8741-2025</t>
        </is>
      </c>
      <c r="B249" s="1" t="n">
        <v>45712.55256944444</v>
      </c>
      <c r="C249" s="1" t="n">
        <v>45913</v>
      </c>
      <c r="D249" t="inlineStr">
        <is>
          <t>NORRBOTTENS LÄN</t>
        </is>
      </c>
      <c r="E249" t="inlineStr">
        <is>
          <t>ÄLVSBYN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8742-2025</t>
        </is>
      </c>
      <c r="B250" s="1" t="n">
        <v>45712.55259259259</v>
      </c>
      <c r="C250" s="1" t="n">
        <v>45913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15255-2023</t>
        </is>
      </c>
      <c r="B251" s="1" t="n">
        <v>45016</v>
      </c>
      <c r="C251" s="1" t="n">
        <v>45913</v>
      </c>
      <c r="D251" t="inlineStr">
        <is>
          <t>NORRBOTTENS LÄN</t>
        </is>
      </c>
      <c r="E251" t="inlineStr">
        <is>
          <t>ÄLVSBYN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30606-2024</t>
        </is>
      </c>
      <c r="B252" s="1" t="n">
        <v>45494.95077546296</v>
      </c>
      <c r="C252" s="1" t="n">
        <v>45913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8334-2025</t>
        </is>
      </c>
      <c r="B253" s="1" t="n">
        <v>45708</v>
      </c>
      <c r="C253" s="1" t="n">
        <v>45913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25102-2023</t>
        </is>
      </c>
      <c r="B254" s="1" t="n">
        <v>45078</v>
      </c>
      <c r="C254" s="1" t="n">
        <v>45913</v>
      </c>
      <c r="D254" t="inlineStr">
        <is>
          <t>NORRBOTTENS LÄN</t>
        </is>
      </c>
      <c r="E254" t="inlineStr">
        <is>
          <t>ÄLVSBYN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45913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58309-2024</t>
        </is>
      </c>
      <c r="B256" s="1" t="n">
        <v>45632</v>
      </c>
      <c r="C256" s="1" t="n">
        <v>45913</v>
      </c>
      <c r="D256" t="inlineStr">
        <is>
          <t>NORRBOTTENS LÄN</t>
        </is>
      </c>
      <c r="E256" t="inlineStr">
        <is>
          <t>ÄLVSBYN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60581-2024</t>
        </is>
      </c>
      <c r="B257" s="1" t="n">
        <v>45642</v>
      </c>
      <c r="C257" s="1" t="n">
        <v>45913</v>
      </c>
      <c r="D257" t="inlineStr">
        <is>
          <t>NORRBOTTENS LÄN</t>
        </is>
      </c>
      <c r="E257" t="inlineStr">
        <is>
          <t>ÄLVSBYN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34863-2022</t>
        </is>
      </c>
      <c r="B258" s="1" t="n">
        <v>44795</v>
      </c>
      <c r="C258" s="1" t="n">
        <v>45913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36929-2025</t>
        </is>
      </c>
      <c r="B259" s="1" t="n">
        <v>45874</v>
      </c>
      <c r="C259" s="1" t="n">
        <v>45913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50746-2021</t>
        </is>
      </c>
      <c r="B260" s="1" t="n">
        <v>44460</v>
      </c>
      <c r="C260" s="1" t="n">
        <v>45913</v>
      </c>
      <c r="D260" t="inlineStr">
        <is>
          <t>NORRBOTTENS LÄN</t>
        </is>
      </c>
      <c r="E260" t="inlineStr">
        <is>
          <t>ÄLVSBYN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12950-2021</t>
        </is>
      </c>
      <c r="B261" s="1" t="n">
        <v>44271</v>
      </c>
      <c r="C261" s="1" t="n">
        <v>45913</v>
      </c>
      <c r="D261" t="inlineStr">
        <is>
          <t>NORRBOTTENS LÄN</t>
        </is>
      </c>
      <c r="E261" t="inlineStr">
        <is>
          <t>ÄLVSBYN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61619-2024</t>
        </is>
      </c>
      <c r="B262" s="1" t="n">
        <v>45646.65796296296</v>
      </c>
      <c r="C262" s="1" t="n">
        <v>45913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23136-2024</t>
        </is>
      </c>
      <c r="B263" s="1" t="n">
        <v>45450</v>
      </c>
      <c r="C263" s="1" t="n">
        <v>45913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40560-2022</t>
        </is>
      </c>
      <c r="B264" s="1" t="n">
        <v>44823.66949074074</v>
      </c>
      <c r="C264" s="1" t="n">
        <v>45913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8549-2025</t>
        </is>
      </c>
      <c r="B265" s="1" t="n">
        <v>45709</v>
      </c>
      <c r="C265" s="1" t="n">
        <v>45913</v>
      </c>
      <c r="D265" t="inlineStr">
        <is>
          <t>NORRBOTTENS LÄN</t>
        </is>
      </c>
      <c r="E265" t="inlineStr">
        <is>
          <t>ÄLVSBYN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8552-2025</t>
        </is>
      </c>
      <c r="B266" s="1" t="n">
        <v>45709</v>
      </c>
      <c r="C266" s="1" t="n">
        <v>45913</v>
      </c>
      <c r="D266" t="inlineStr">
        <is>
          <t>NORRBOTTENS LÄN</t>
        </is>
      </c>
      <c r="E266" t="inlineStr">
        <is>
          <t>ÄLVSBYN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8553-2025</t>
        </is>
      </c>
      <c r="B267" s="1" t="n">
        <v>45709</v>
      </c>
      <c r="C267" s="1" t="n">
        <v>45913</v>
      </c>
      <c r="D267" t="inlineStr">
        <is>
          <t>NORRBOTTENS LÄN</t>
        </is>
      </c>
      <c r="E267" t="inlineStr">
        <is>
          <t>ÄLVSBYN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60030-2021</t>
        </is>
      </c>
      <c r="B268" s="1" t="n">
        <v>44494</v>
      </c>
      <c r="C268" s="1" t="n">
        <v>45913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19142-2023</t>
        </is>
      </c>
      <c r="B269" s="1" t="n">
        <v>45044</v>
      </c>
      <c r="C269" s="1" t="n">
        <v>45913</v>
      </c>
      <c r="D269" t="inlineStr">
        <is>
          <t>NORRBOTTENS LÄN</t>
        </is>
      </c>
      <c r="E269" t="inlineStr">
        <is>
          <t>ÄLVSBYN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43005-2021</t>
        </is>
      </c>
      <c r="B270" s="1" t="n">
        <v>44431</v>
      </c>
      <c r="C270" s="1" t="n">
        <v>45913</v>
      </c>
      <c r="D270" t="inlineStr">
        <is>
          <t>NORRBOTTENS LÄN</t>
        </is>
      </c>
      <c r="E270" t="inlineStr">
        <is>
          <t>ÄLVSBYN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37731-2022</t>
        </is>
      </c>
      <c r="B271" s="1" t="n">
        <v>44810.57025462963</v>
      </c>
      <c r="C271" s="1" t="n">
        <v>45913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47695-2021</t>
        </is>
      </c>
      <c r="B272" s="1" t="n">
        <v>44448</v>
      </c>
      <c r="C272" s="1" t="n">
        <v>45913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29638-2023</t>
        </is>
      </c>
      <c r="B273" s="1" t="n">
        <v>45098</v>
      </c>
      <c r="C273" s="1" t="n">
        <v>45913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15180-2025</t>
        </is>
      </c>
      <c r="B274" s="1" t="n">
        <v>45744.52540509259</v>
      </c>
      <c r="C274" s="1" t="n">
        <v>45913</v>
      </c>
      <c r="D274" t="inlineStr">
        <is>
          <t>NORRBOTTENS LÄN</t>
        </is>
      </c>
      <c r="E274" t="inlineStr">
        <is>
          <t>ÄLVSBYN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5650-2024</t>
        </is>
      </c>
      <c r="B275" s="1" t="n">
        <v>45334</v>
      </c>
      <c r="C275" s="1" t="n">
        <v>45913</v>
      </c>
      <c r="D275" t="inlineStr">
        <is>
          <t>NORRBOTTENS LÄN</t>
        </is>
      </c>
      <c r="E275" t="inlineStr">
        <is>
          <t>ÄLVSBYN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6825-2023</t>
        </is>
      </c>
      <c r="B276" s="1" t="n">
        <v>44967.40280092593</v>
      </c>
      <c r="C276" s="1" t="n">
        <v>45913</v>
      </c>
      <c r="D276" t="inlineStr">
        <is>
          <t>NORRBOTTENS LÄN</t>
        </is>
      </c>
      <c r="E276" t="inlineStr">
        <is>
          <t>ÄLVSBYN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4928-2025</t>
        </is>
      </c>
      <c r="B277" s="1" t="n">
        <v>45688.68462962963</v>
      </c>
      <c r="C277" s="1" t="n">
        <v>45913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58505-2023</t>
        </is>
      </c>
      <c r="B278" s="1" t="n">
        <v>45251.36628472222</v>
      </c>
      <c r="C278" s="1" t="n">
        <v>45913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16204-2024</t>
        </is>
      </c>
      <c r="B279" s="1" t="n">
        <v>45406.77420138889</v>
      </c>
      <c r="C279" s="1" t="n">
        <v>45913</v>
      </c>
      <c r="D279" t="inlineStr">
        <is>
          <t>NORRBOTTENS LÄN</t>
        </is>
      </c>
      <c r="E279" t="inlineStr">
        <is>
          <t>ÄLVSBYN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48971-2020</t>
        </is>
      </c>
      <c r="B280" s="1" t="n">
        <v>44105</v>
      </c>
      <c r="C280" s="1" t="n">
        <v>45913</v>
      </c>
      <c r="D280" t="inlineStr">
        <is>
          <t>NORRBOTTENS LÄN</t>
        </is>
      </c>
      <c r="E280" t="inlineStr">
        <is>
          <t>ÄLVSBYN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1238-2024</t>
        </is>
      </c>
      <c r="B281" s="1" t="n">
        <v>45302</v>
      </c>
      <c r="C281" s="1" t="n">
        <v>45913</v>
      </c>
      <c r="D281" t="inlineStr">
        <is>
          <t>NORRBOTTENS LÄN</t>
        </is>
      </c>
      <c r="E281" t="inlineStr">
        <is>
          <t>ÄLVSBYN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34320-2025</t>
        </is>
      </c>
      <c r="B282" s="1" t="n">
        <v>45846.42490740741</v>
      </c>
      <c r="C282" s="1" t="n">
        <v>45913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45913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50924-2021</t>
        </is>
      </c>
      <c r="B284" s="1" t="n">
        <v>44460</v>
      </c>
      <c r="C284" s="1" t="n">
        <v>45913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22-2023</t>
        </is>
      </c>
      <c r="B285" s="1" t="n">
        <v>44918</v>
      </c>
      <c r="C285" s="1" t="n">
        <v>45913</v>
      </c>
      <c r="D285" t="inlineStr">
        <is>
          <t>NORRBOTTENS LÄN</t>
        </is>
      </c>
      <c r="E285" t="inlineStr">
        <is>
          <t>ÄLVSBYN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47391-2024</t>
        </is>
      </c>
      <c r="B286" s="1" t="n">
        <v>45587.47009259259</v>
      </c>
      <c r="C286" s="1" t="n">
        <v>45913</v>
      </c>
      <c r="D286" t="inlineStr">
        <is>
          <t>NORRBOTTENS LÄN</t>
        </is>
      </c>
      <c r="E286" t="inlineStr">
        <is>
          <t>ÄLVSBYN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45913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28755-2023</t>
        </is>
      </c>
      <c r="B288" s="1" t="n">
        <v>45103.9419212963</v>
      </c>
      <c r="C288" s="1" t="n">
        <v>45913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11835-2023</t>
        </is>
      </c>
      <c r="B289" s="1" t="n">
        <v>44994</v>
      </c>
      <c r="C289" s="1" t="n">
        <v>45913</v>
      </c>
      <c r="D289" t="inlineStr">
        <is>
          <t>NORRBOTTENS LÄN</t>
        </is>
      </c>
      <c r="E289" t="inlineStr">
        <is>
          <t>ÄLVSBYN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38999-2024</t>
        </is>
      </c>
      <c r="B290" s="1" t="n">
        <v>45548.4180787037</v>
      </c>
      <c r="C290" s="1" t="n">
        <v>45913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30690-2024</t>
        </is>
      </c>
      <c r="B291" s="1" t="n">
        <v>45495</v>
      </c>
      <c r="C291" s="1" t="n">
        <v>45913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52087-2022</t>
        </is>
      </c>
      <c r="B292" s="1" t="n">
        <v>44873</v>
      </c>
      <c r="C292" s="1" t="n">
        <v>45913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28358-2024</t>
        </is>
      </c>
      <c r="B293" s="1" t="n">
        <v>45477</v>
      </c>
      <c r="C293" s="1" t="n">
        <v>45913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13329-2025</t>
        </is>
      </c>
      <c r="B294" s="1" t="n">
        <v>45735</v>
      </c>
      <c r="C294" s="1" t="n">
        <v>45913</v>
      </c>
      <c r="D294" t="inlineStr">
        <is>
          <t>NORRBOTTENS LÄN</t>
        </is>
      </c>
      <c r="E294" t="inlineStr">
        <is>
          <t>ÄLVSBYN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28757-2023</t>
        </is>
      </c>
      <c r="B295" s="1" t="n">
        <v>45103</v>
      </c>
      <c r="C295" s="1" t="n">
        <v>45913</v>
      </c>
      <c r="D295" t="inlineStr">
        <is>
          <t>NORRBOTTENS LÄN</t>
        </is>
      </c>
      <c r="E295" t="inlineStr">
        <is>
          <t>ÄLVSBYN</t>
        </is>
      </c>
      <c r="F295" t="inlineStr">
        <is>
          <t>SCA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26727-2024</t>
        </is>
      </c>
      <c r="B296" s="1" t="n">
        <v>45470</v>
      </c>
      <c r="C296" s="1" t="n">
        <v>45913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38079-2025</t>
        </is>
      </c>
      <c r="B297" s="1" t="n">
        <v>45882</v>
      </c>
      <c r="C297" s="1" t="n">
        <v>45913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39020-2025</t>
        </is>
      </c>
      <c r="B298" s="1" t="n">
        <v>45888.37311342593</v>
      </c>
      <c r="C298" s="1" t="n">
        <v>45913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38707-2025</t>
        </is>
      </c>
      <c r="B299" s="1" t="n">
        <v>45885</v>
      </c>
      <c r="C299" s="1" t="n">
        <v>45913</v>
      </c>
      <c r="D299" t="inlineStr">
        <is>
          <t>NORRBOTTENS LÄN</t>
        </is>
      </c>
      <c r="E299" t="inlineStr">
        <is>
          <t>ÄLVSBYN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40509-2025</t>
        </is>
      </c>
      <c r="B300" s="1" t="n">
        <v>45896.34483796296</v>
      </c>
      <c r="C300" s="1" t="n">
        <v>45913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45913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22810-2024</t>
        </is>
      </c>
      <c r="B302" s="1" t="n">
        <v>45448</v>
      </c>
      <c r="C302" s="1" t="n">
        <v>45913</v>
      </c>
      <c r="D302" t="inlineStr">
        <is>
          <t>NORRBOTTENS LÄN</t>
        </is>
      </c>
      <c r="E302" t="inlineStr">
        <is>
          <t>ÄLVSBYN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40359-2025</t>
        </is>
      </c>
      <c r="B303" s="1" t="n">
        <v>45895.49011574074</v>
      </c>
      <c r="C303" s="1" t="n">
        <v>45913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2293-2023</t>
        </is>
      </c>
      <c r="B304" s="1" t="n">
        <v>44942</v>
      </c>
      <c r="C304" s="1" t="n">
        <v>45913</v>
      </c>
      <c r="D304" t="inlineStr">
        <is>
          <t>NORRBOTTENS LÄN</t>
        </is>
      </c>
      <c r="E304" t="inlineStr">
        <is>
          <t>ÄLVSBYN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37291-2024</t>
        </is>
      </c>
      <c r="B305" s="1" t="n">
        <v>45540</v>
      </c>
      <c r="C305" s="1" t="n">
        <v>45913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58476-2023</t>
        </is>
      </c>
      <c r="B306" s="1" t="n">
        <v>45246</v>
      </c>
      <c r="C306" s="1" t="n">
        <v>45913</v>
      </c>
      <c r="D306" t="inlineStr">
        <is>
          <t>NORRBOTTENS LÄN</t>
        </is>
      </c>
      <c r="E306" t="inlineStr">
        <is>
          <t>ÄLVSBYN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41284-2025</t>
        </is>
      </c>
      <c r="B307" s="1" t="n">
        <v>45898.63592592593</v>
      </c>
      <c r="C307" s="1" t="n">
        <v>45913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6004-2023</t>
        </is>
      </c>
      <c r="B308" s="1" t="n">
        <v>44959</v>
      </c>
      <c r="C308" s="1" t="n">
        <v>45913</v>
      </c>
      <c r="D308" t="inlineStr">
        <is>
          <t>NORRBOTTENS LÄN</t>
        </is>
      </c>
      <c r="E308" t="inlineStr">
        <is>
          <t>ÄLVSBYN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42505-2024</t>
        </is>
      </c>
      <c r="B309" s="1" t="n">
        <v>45565</v>
      </c>
      <c r="C309" s="1" t="n">
        <v>45913</v>
      </c>
      <c r="D309" t="inlineStr">
        <is>
          <t>NORRBOTTENS LÄN</t>
        </is>
      </c>
      <c r="E309" t="inlineStr">
        <is>
          <t>ÄLVSBYN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51051-2024</t>
        </is>
      </c>
      <c r="B310" s="1" t="n">
        <v>45603</v>
      </c>
      <c r="C310" s="1" t="n">
        <v>45913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36861-2025</t>
        </is>
      </c>
      <c r="B311" s="1" t="n">
        <v>45874</v>
      </c>
      <c r="C311" s="1" t="n">
        <v>45913</v>
      </c>
      <c r="D311" t="inlineStr">
        <is>
          <t>NORRBOTTENS LÄN</t>
        </is>
      </c>
      <c r="E311" t="inlineStr">
        <is>
          <t>ÄLVSBYN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35836-2025</t>
        </is>
      </c>
      <c r="B312" s="1" t="n">
        <v>45861</v>
      </c>
      <c r="C312" s="1" t="n">
        <v>45913</v>
      </c>
      <c r="D312" t="inlineStr">
        <is>
          <t>NORRBOTTENS LÄN</t>
        </is>
      </c>
      <c r="E312" t="inlineStr">
        <is>
          <t>ÄLVSBYN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35802-2025</t>
        </is>
      </c>
      <c r="B313" s="1" t="n">
        <v>45861.38800925926</v>
      </c>
      <c r="C313" s="1" t="n">
        <v>45913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27277-2022</t>
        </is>
      </c>
      <c r="B314" s="1" t="n">
        <v>44741.92667824074</v>
      </c>
      <c r="C314" s="1" t="n">
        <v>45913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35803-2025</t>
        </is>
      </c>
      <c r="B315" s="1" t="n">
        <v>45861</v>
      </c>
      <c r="C315" s="1" t="n">
        <v>45913</v>
      </c>
      <c r="D315" t="inlineStr">
        <is>
          <t>NORRBOTTENS LÄN</t>
        </is>
      </c>
      <c r="E315" t="inlineStr">
        <is>
          <t>ÄLVSBYN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51912-2021</t>
        </is>
      </c>
      <c r="B316" s="1" t="n">
        <v>44462</v>
      </c>
      <c r="C316" s="1" t="n">
        <v>45913</v>
      </c>
      <c r="D316" t="inlineStr">
        <is>
          <t>NORRBOTTENS LÄN</t>
        </is>
      </c>
      <c r="E316" t="inlineStr">
        <is>
          <t>ÄLVSBYN</t>
        </is>
      </c>
      <c r="G316" t="n">
        <v>26.5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59553-2021</t>
        </is>
      </c>
      <c r="B317" s="1" t="n">
        <v>44491</v>
      </c>
      <c r="C317" s="1" t="n">
        <v>45913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30753-2025</t>
        </is>
      </c>
      <c r="B318" s="1" t="n">
        <v>45831</v>
      </c>
      <c r="C318" s="1" t="n">
        <v>45913</v>
      </c>
      <c r="D318" t="inlineStr">
        <is>
          <t>NORRBOTTENS LÄN</t>
        </is>
      </c>
      <c r="E318" t="inlineStr">
        <is>
          <t>ÄLVSBYN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42141-2025</t>
        </is>
      </c>
      <c r="B319" s="1" t="n">
        <v>45904.36495370371</v>
      </c>
      <c r="C319" s="1" t="n">
        <v>45913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9643-2022</t>
        </is>
      </c>
      <c r="B320" s="1" t="n">
        <v>44617</v>
      </c>
      <c r="C320" s="1" t="n">
        <v>45913</v>
      </c>
      <c r="D320" t="inlineStr">
        <is>
          <t>NORRBOTTENS LÄN</t>
        </is>
      </c>
      <c r="E320" t="inlineStr">
        <is>
          <t>ÄLVSBYN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31220-2023</t>
        </is>
      </c>
      <c r="B321" s="1" t="n">
        <v>45114</v>
      </c>
      <c r="C321" s="1" t="n">
        <v>45913</v>
      </c>
      <c r="D321" t="inlineStr">
        <is>
          <t>NORRBOTTENS LÄN</t>
        </is>
      </c>
      <c r="E321" t="inlineStr">
        <is>
          <t>ÄLVSBYN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39932-2025</t>
        </is>
      </c>
      <c r="B322" s="1" t="n">
        <v>45891</v>
      </c>
      <c r="C322" s="1" t="n">
        <v>45913</v>
      </c>
      <c r="D322" t="inlineStr">
        <is>
          <t>NORRBOTTENS LÄN</t>
        </is>
      </c>
      <c r="E322" t="inlineStr">
        <is>
          <t>ÄLVSBYN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3500-2023</t>
        </is>
      </c>
      <c r="B323" s="1" t="n">
        <v>44949.9250925926</v>
      </c>
      <c r="C323" s="1" t="n">
        <v>45913</v>
      </c>
      <c r="D323" t="inlineStr">
        <is>
          <t>NORRBOTTENS LÄN</t>
        </is>
      </c>
      <c r="E323" t="inlineStr">
        <is>
          <t>ÄLVSBYN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40506-2025</t>
        </is>
      </c>
      <c r="B324" s="1" t="n">
        <v>45896</v>
      </c>
      <c r="C324" s="1" t="n">
        <v>45913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36536-2025</t>
        </is>
      </c>
      <c r="B325" s="1" t="n">
        <v>45869</v>
      </c>
      <c r="C325" s="1" t="n">
        <v>45913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20158-2025</t>
        </is>
      </c>
      <c r="B326" s="1" t="n">
        <v>45772</v>
      </c>
      <c r="C326" s="1" t="n">
        <v>45913</v>
      </c>
      <c r="D326" t="inlineStr">
        <is>
          <t>NORRBOTTENS LÄN</t>
        </is>
      </c>
      <c r="E326" t="inlineStr">
        <is>
          <t>ÄLVSBYN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11477-2022</t>
        </is>
      </c>
      <c r="B327" s="1" t="n">
        <v>44630.92287037037</v>
      </c>
      <c r="C327" s="1" t="n">
        <v>45913</v>
      </c>
      <c r="D327" t="inlineStr">
        <is>
          <t>NORRBOTTENS LÄN</t>
        </is>
      </c>
      <c r="E327" t="inlineStr">
        <is>
          <t>ÄLVSBYN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8550-2025</t>
        </is>
      </c>
      <c r="B328" s="1" t="n">
        <v>45709</v>
      </c>
      <c r="C328" s="1" t="n">
        <v>45913</v>
      </c>
      <c r="D328" t="inlineStr">
        <is>
          <t>NORRBOTTENS LÄN</t>
        </is>
      </c>
      <c r="E328" t="inlineStr">
        <is>
          <t>ÄLVSBYN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36464-2025</t>
        </is>
      </c>
      <c r="B329" s="1" t="n">
        <v>45869.46420138889</v>
      </c>
      <c r="C329" s="1" t="n">
        <v>45913</v>
      </c>
      <c r="D329" t="inlineStr">
        <is>
          <t>NORRBOTTENS LÄN</t>
        </is>
      </c>
      <c r="E329" t="inlineStr">
        <is>
          <t>ÄLVSBYN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30555-2025</t>
        </is>
      </c>
      <c r="B330" s="1" t="n">
        <v>45831.38609953703</v>
      </c>
      <c r="C330" s="1" t="n">
        <v>45913</v>
      </c>
      <c r="D330" t="inlineStr">
        <is>
          <t>NORRBOTTENS LÄN</t>
        </is>
      </c>
      <c r="E330" t="inlineStr">
        <is>
          <t>ÄLVSBYN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36490-2025</t>
        </is>
      </c>
      <c r="B331" s="1" t="n">
        <v>45869</v>
      </c>
      <c r="C331" s="1" t="n">
        <v>45913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40282-2024</t>
        </is>
      </c>
      <c r="B332" s="1" t="n">
        <v>45554.66056712963</v>
      </c>
      <c r="C332" s="1" t="n">
        <v>45913</v>
      </c>
      <c r="D332" t="inlineStr">
        <is>
          <t>NORRBOTTENS LÄN</t>
        </is>
      </c>
      <c r="E332" t="inlineStr">
        <is>
          <t>ÄLVSBYN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32952-2024</t>
        </is>
      </c>
      <c r="B333" s="1" t="n">
        <v>45517</v>
      </c>
      <c r="C333" s="1" t="n">
        <v>45913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32966-2023</t>
        </is>
      </c>
      <c r="B334" s="1" t="n">
        <v>45125.54148148148</v>
      </c>
      <c r="C334" s="1" t="n">
        <v>45913</v>
      </c>
      <c r="D334" t="inlineStr">
        <is>
          <t>NORRBOTTENS LÄN</t>
        </is>
      </c>
      <c r="E334" t="inlineStr">
        <is>
          <t>ÄLVSBYN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54848-2024</t>
        </is>
      </c>
      <c r="B335" s="1" t="n">
        <v>45618</v>
      </c>
      <c r="C335" s="1" t="n">
        <v>45913</v>
      </c>
      <c r="D335" t="inlineStr">
        <is>
          <t>NORRBOTTENS LÄN</t>
        </is>
      </c>
      <c r="E335" t="inlineStr">
        <is>
          <t>ÄLVSBYN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46838-2024</t>
        </is>
      </c>
      <c r="B336" s="1" t="n">
        <v>45583</v>
      </c>
      <c r="C336" s="1" t="n">
        <v>45913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39020-2024</t>
        </is>
      </c>
      <c r="B337" s="1" t="n">
        <v>45548</v>
      </c>
      <c r="C337" s="1" t="n">
        <v>45913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51981-2022</t>
        </is>
      </c>
      <c r="B338" s="1" t="n">
        <v>44872</v>
      </c>
      <c r="C338" s="1" t="n">
        <v>45913</v>
      </c>
      <c r="D338" t="inlineStr">
        <is>
          <t>NORRBOTTENS LÄN</t>
        </is>
      </c>
      <c r="E338" t="inlineStr">
        <is>
          <t>ÄLVSBYN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9634-2022</t>
        </is>
      </c>
      <c r="B339" s="1" t="n">
        <v>44617</v>
      </c>
      <c r="C339" s="1" t="n">
        <v>45913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50375-2023</t>
        </is>
      </c>
      <c r="B340" s="1" t="n">
        <v>45216</v>
      </c>
      <c r="C340" s="1" t="n">
        <v>45913</v>
      </c>
      <c r="D340" t="inlineStr">
        <is>
          <t>NORRBOTTENS LÄN</t>
        </is>
      </c>
      <c r="E340" t="inlineStr">
        <is>
          <t>ÄLVSBYN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19563-2025</t>
        </is>
      </c>
      <c r="B341" s="1" t="n">
        <v>45770</v>
      </c>
      <c r="C341" s="1" t="n">
        <v>45913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58321-2024</t>
        </is>
      </c>
      <c r="B342" s="1" t="n">
        <v>45632</v>
      </c>
      <c r="C342" s="1" t="n">
        <v>45913</v>
      </c>
      <c r="D342" t="inlineStr">
        <is>
          <t>NORRBOTTENS LÄN</t>
        </is>
      </c>
      <c r="E342" t="inlineStr">
        <is>
          <t>ÄLVSBYN</t>
        </is>
      </c>
      <c r="G342" t="n">
        <v>22.1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51457-2023</t>
        </is>
      </c>
      <c r="B343" s="1" t="n">
        <v>45220</v>
      </c>
      <c r="C343" s="1" t="n">
        <v>45913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51684-2024</t>
        </is>
      </c>
      <c r="B344" s="1" t="n">
        <v>45607</v>
      </c>
      <c r="C344" s="1" t="n">
        <v>45913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45949-2024</t>
        </is>
      </c>
      <c r="B345" s="1" t="n">
        <v>45580</v>
      </c>
      <c r="C345" s="1" t="n">
        <v>45913</v>
      </c>
      <c r="D345" t="inlineStr">
        <is>
          <t>NORRBOTTENS LÄN</t>
        </is>
      </c>
      <c r="E345" t="inlineStr">
        <is>
          <t>ÄLVSBYN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45724-2024</t>
        </is>
      </c>
      <c r="B346" s="1" t="n">
        <v>45579.5946875</v>
      </c>
      <c r="C346" s="1" t="n">
        <v>45913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2025-09-13T08:57:25Z</dcterms:created>
  <dcterms:modified xmlns:dcterms="http://purl.org/dc/terms/" xmlns:xsi="http://www.w3.org/2001/XMLSchema-instance" xsi:type="dcterms:W3CDTF">2025-09-13T08:57:25Z</dcterms:modified>
</cp:coreProperties>
</file>