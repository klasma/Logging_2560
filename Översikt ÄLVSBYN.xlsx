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45795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45795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45795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45795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2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Gammelgransskål
Garnlav
Lunglav
Rosenticka
Vedskivlav
Äggvaxskivling
Bollvitmossa
Plattlummer
Stuplav
Vedticka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59591-2023</t>
        </is>
      </c>
      <c r="B12" s="1" t="n">
        <v>45254</v>
      </c>
      <c r="C12" s="1" t="n">
        <v>45795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17.4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Rotfingersvamp
Tallgråticka
Blå taggsvamp
Orange taggsvamp
Skrovlig taggsvamp
Svart taggsvamp
Tallriska
Talltaggsvamp
Dropptaggsvamp
Skarp dropptaggsvamp</t>
        </is>
      </c>
      <c r="S12">
        <f>HYPERLINK("https://klasma.github.io/Logging_2560/artfynd/A 59591-2023 artfynd.xlsx", "A 59591-2023")</f>
        <v/>
      </c>
      <c r="T12">
        <f>HYPERLINK("https://klasma.github.io/Logging_2560/kartor/A 59591-2023 karta.png", "A 59591-2023")</f>
        <v/>
      </c>
      <c r="V12">
        <f>HYPERLINK("https://klasma.github.io/Logging_2560/klagomål/A 59591-2023 FSC-klagomål.docx", "A 59591-2023")</f>
        <v/>
      </c>
      <c r="W12">
        <f>HYPERLINK("https://klasma.github.io/Logging_2560/klagomålsmail/A 59591-2023 FSC-klagomål mail.docx", "A 59591-2023")</f>
        <v/>
      </c>
      <c r="X12">
        <f>HYPERLINK("https://klasma.github.io/Logging_2560/tillsyn/A 59591-2023 tillsynsbegäran.docx", "A 59591-2023")</f>
        <v/>
      </c>
      <c r="Y12">
        <f>HYPERLINK("https://klasma.github.io/Logging_2560/tillsynsmail/A 59591-2023 tillsynsbegäran mail.docx", "A 59591-2023")</f>
        <v/>
      </c>
    </row>
    <row r="13" ht="15" customHeight="1">
      <c r="A13" t="inlineStr">
        <is>
          <t>A 59589-2023</t>
        </is>
      </c>
      <c r="B13" s="1" t="n">
        <v>45254</v>
      </c>
      <c r="C13" s="1" t="n">
        <v>45795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1.8</v>
      </c>
      <c r="H13" t="n">
        <v>0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Goliatmusseron
Tallgråticka
Blå taggsvamp
Orange taggsvamp
Skrovlig taggsvamp
Svart taggsvamp
Svartvit taggsvamp
Tallriska
Talltaggsvamp
Dropptaggsvamp
Skarp dropptaggsvamp</t>
        </is>
      </c>
      <c r="S13">
        <f>HYPERLINK("https://klasma.github.io/Logging_2560/artfynd/A 59589-2023 artfynd.xlsx", "A 59589-2023")</f>
        <v/>
      </c>
      <c r="T13">
        <f>HYPERLINK("https://klasma.github.io/Logging_2560/kartor/A 59589-2023 karta.png", "A 59589-2023")</f>
        <v/>
      </c>
      <c r="V13">
        <f>HYPERLINK("https://klasma.github.io/Logging_2560/klagomål/A 59589-2023 FSC-klagomål.docx", "A 59589-2023")</f>
        <v/>
      </c>
      <c r="W13">
        <f>HYPERLINK("https://klasma.github.io/Logging_2560/klagomålsmail/A 59589-2023 FSC-klagomål mail.docx", "A 59589-2023")</f>
        <v/>
      </c>
      <c r="X13">
        <f>HYPERLINK("https://klasma.github.io/Logging_2560/tillsyn/A 59589-2023 tillsynsbegäran.docx", "A 59589-2023")</f>
        <v/>
      </c>
      <c r="Y13">
        <f>HYPERLINK("https://klasma.github.io/Logging_2560/tillsynsmail/A 59589-2023 tillsynsbegäran mail.docx", "A 59589-2023")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45795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HYPERLINK("https://klasma.github.io/Logging_252560/artfynd/A 22563-2025 artfynd.xlsx", "A 22563-2025")</f>
        <v/>
      </c>
      <c r="T14">
        <f>HYPERLINK("https://klasma.github.io/Logging_252560/kartor/A 22563-2025 karta.png", "A 22563-2025")</f>
        <v/>
      </c>
      <c r="V14">
        <f>HYPERLINK("https://klasma.github.io/Logging_252560/klagomål/A 22563-2025 FSC-klagomål.docx", "A 22563-2025")</f>
        <v/>
      </c>
      <c r="W14">
        <f>HYPERLINK("https://klasma.github.io/Logging_252560/klagomålsmail/A 22563-2025 FSC-klagomål mail.docx", "A 22563-2025")</f>
        <v/>
      </c>
      <c r="X14">
        <f>HYPERLINK("https://klasma.github.io/Logging_252560/tillsyn/A 22563-2025 tillsynsbegäran.docx", "A 22563-2025")</f>
        <v/>
      </c>
      <c r="Y14">
        <f>HYPERLINK("https://klasma.github.io/Logging_252560/tillsynsmail/A 22563-2025 tillsynsbegäran mail.docx", "A 22563-2025")</f>
        <v/>
      </c>
    </row>
    <row r="15" ht="15" customHeight="1">
      <c r="A15" t="inlineStr">
        <is>
          <t>A 40109-2024</t>
        </is>
      </c>
      <c r="B15" s="1" t="n">
        <v>45554</v>
      </c>
      <c r="C15" s="1" t="n">
        <v>45795</v>
      </c>
      <c r="D15" t="inlineStr">
        <is>
          <t>NORRBOTTENS LÄN</t>
        </is>
      </c>
      <c r="E15" t="inlineStr">
        <is>
          <t>ÄLVSBYN</t>
        </is>
      </c>
      <c r="G15" t="n">
        <v>7.7</v>
      </c>
      <c r="H15" t="n">
        <v>4</v>
      </c>
      <c r="I15" t="n">
        <v>2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10</v>
      </c>
      <c r="R15" s="2" t="inlineStr">
        <is>
          <t>Knärot
Blanksvart spiklav
Gammelgransskål
Garnlav
Talltita
Tretåig hackspett
Violmussling
Bollvitmossa
Stuplav
Tjäder</t>
        </is>
      </c>
      <c r="S15">
        <f>HYPERLINK("https://klasma.github.io/Logging_2560/artfynd/A 40109-2024 artfynd.xlsx", "A 40109-2024")</f>
        <v/>
      </c>
      <c r="T15">
        <f>HYPERLINK("https://klasma.github.io/Logging_2560/kartor/A 40109-2024 karta.png", "A 40109-2024")</f>
        <v/>
      </c>
      <c r="U15">
        <f>HYPERLINK("https://klasma.github.io/Logging_2560/knärot/A 40109-2024 karta knärot.png", "A 40109-2024")</f>
        <v/>
      </c>
      <c r="V15">
        <f>HYPERLINK("https://klasma.github.io/Logging_2560/klagomål/A 40109-2024 FSC-klagomål.docx", "A 40109-2024")</f>
        <v/>
      </c>
      <c r="W15">
        <f>HYPERLINK("https://klasma.github.io/Logging_2560/klagomålsmail/A 40109-2024 FSC-klagomål mail.docx", "A 40109-2024")</f>
        <v/>
      </c>
      <c r="X15">
        <f>HYPERLINK("https://klasma.github.io/Logging_2560/tillsyn/A 40109-2024 tillsynsbegäran.docx", "A 40109-2024")</f>
        <v/>
      </c>
      <c r="Y15">
        <f>HYPERLINK("https://klasma.github.io/Logging_2560/tillsynsmail/A 40109-2024 tillsynsbegäran mail.docx", "A 40109-2024")</f>
        <v/>
      </c>
      <c r="Z15">
        <f>HYPERLINK("https://klasma.github.io/Logging_2560/fåglar/A 40109-2024 prioriterade fågelarter.docx", "A 40109-2024")</f>
        <v/>
      </c>
    </row>
    <row r="16" ht="15" customHeight="1">
      <c r="A16" t="inlineStr">
        <is>
          <t>A 45320-2024</t>
        </is>
      </c>
      <c r="B16" s="1" t="n">
        <v>45576</v>
      </c>
      <c r="C16" s="1" t="n">
        <v>45795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Dvärgbägarlav
Garnlav
Kolflarnlav
Motaggsvamp
Talltita
Vaddporing
Vedflamlav
Vedskivlav
Dropptaggsvamp
Skarp dropptaggsvamp</t>
        </is>
      </c>
      <c r="S16">
        <f>HYPERLINK("https://klasma.github.io/Logging_2560/artfynd/A 45320-2024 artfynd.xlsx", "A 45320-2024")</f>
        <v/>
      </c>
      <c r="T16">
        <f>HYPERLINK("https://klasma.github.io/Logging_2560/kartor/A 45320-2024 karta.png", "A 45320-2024")</f>
        <v/>
      </c>
      <c r="V16">
        <f>HYPERLINK("https://klasma.github.io/Logging_2560/klagomål/A 45320-2024 FSC-klagomål.docx", "A 45320-2024")</f>
        <v/>
      </c>
      <c r="W16">
        <f>HYPERLINK("https://klasma.github.io/Logging_2560/klagomålsmail/A 45320-2024 FSC-klagomål mail.docx", "A 45320-2024")</f>
        <v/>
      </c>
      <c r="X16">
        <f>HYPERLINK("https://klasma.github.io/Logging_2560/tillsyn/A 45320-2024 tillsynsbegäran.docx", "A 45320-2024")</f>
        <v/>
      </c>
      <c r="Y16">
        <f>HYPERLINK("https://klasma.github.io/Logging_2560/tillsynsmail/A 45320-2024 tillsynsbegäran mail.docx", "A 45320-2024")</f>
        <v/>
      </c>
      <c r="Z16">
        <f>HYPERLINK("https://klasma.github.io/Logging_2560/fåglar/A 45320-2024 prioriterade fågelarter.docx", "A 45320-2024")</f>
        <v/>
      </c>
    </row>
    <row r="17" ht="15" customHeight="1">
      <c r="A17" t="inlineStr">
        <is>
          <t>A 40107-2024</t>
        </is>
      </c>
      <c r="B17" s="1" t="n">
        <v>45554</v>
      </c>
      <c r="C17" s="1" t="n">
        <v>45795</v>
      </c>
      <c r="D17" t="inlineStr">
        <is>
          <t>NORRBOTTENS LÄN</t>
        </is>
      </c>
      <c r="E17" t="inlineStr">
        <is>
          <t>ÄLVSBYN</t>
        </is>
      </c>
      <c r="G17" t="n">
        <v>6.4</v>
      </c>
      <c r="H17" t="n">
        <v>3</v>
      </c>
      <c r="I17" t="n">
        <v>1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Knärot
Fjällvråk
Gammelgransskål
Garnlav
Knottrig blåslav
Spillkråka
Vitgrynig nållav
Källpraktmossa</t>
        </is>
      </c>
      <c r="S17">
        <f>HYPERLINK("https://klasma.github.io/Logging_2560/artfynd/A 40107-2024 artfynd.xlsx", "A 40107-2024")</f>
        <v/>
      </c>
      <c r="T17">
        <f>HYPERLINK("https://klasma.github.io/Logging_2560/kartor/A 40107-2024 karta.png", "A 40107-2024")</f>
        <v/>
      </c>
      <c r="U17">
        <f>HYPERLINK("https://klasma.github.io/Logging_2560/knärot/A 40107-2024 karta knärot.png", "A 40107-2024")</f>
        <v/>
      </c>
      <c r="V17">
        <f>HYPERLINK("https://klasma.github.io/Logging_2560/klagomål/A 40107-2024 FSC-klagomål.docx", "A 40107-2024")</f>
        <v/>
      </c>
      <c r="W17">
        <f>HYPERLINK("https://klasma.github.io/Logging_2560/klagomålsmail/A 40107-2024 FSC-klagomål mail.docx", "A 40107-2024")</f>
        <v/>
      </c>
      <c r="X17">
        <f>HYPERLINK("https://klasma.github.io/Logging_2560/tillsyn/A 40107-2024 tillsynsbegäran.docx", "A 40107-2024")</f>
        <v/>
      </c>
      <c r="Y17">
        <f>HYPERLINK("https://klasma.github.io/Logging_2560/tillsynsmail/A 40107-2024 tillsynsbegäran mail.docx", "A 40107-2024")</f>
        <v/>
      </c>
      <c r="Z17">
        <f>HYPERLINK("https://klasma.github.io/Logging_2560/fåglar/A 40107-2024 prioriterade fågelarter.docx", "A 40107-2024")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45795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586-2024</t>
        </is>
      </c>
      <c r="B19" s="1" t="n">
        <v>45299</v>
      </c>
      <c r="C19" s="1" t="n">
        <v>45795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19.5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Goliatmusseron
Blå taggsvamp
Motaggsvamp
Orange taggsvamp
Svart taggsvamp
Skarp dropptaggsvamp</t>
        </is>
      </c>
      <c r="S19">
        <f>HYPERLINK("https://klasma.github.io/Logging_2560/artfynd/A 586-2024 artfynd.xlsx", "A 586-2024")</f>
        <v/>
      </c>
      <c r="T19">
        <f>HYPERLINK("https://klasma.github.io/Logging_2560/kartor/A 586-2024 karta.png", "A 586-2024")</f>
        <v/>
      </c>
      <c r="V19">
        <f>HYPERLINK("https://klasma.github.io/Logging_2560/klagomål/A 586-2024 FSC-klagomål.docx", "A 586-2024")</f>
        <v/>
      </c>
      <c r="W19">
        <f>HYPERLINK("https://klasma.github.io/Logging_2560/klagomålsmail/A 586-2024 FSC-klagomål mail.docx", "A 586-2024")</f>
        <v/>
      </c>
      <c r="X19">
        <f>HYPERLINK("https://klasma.github.io/Logging_2560/tillsyn/A 586-2024 tillsynsbegäran.docx", "A 586-2024")</f>
        <v/>
      </c>
      <c r="Y19">
        <f>HYPERLINK("https://klasma.github.io/Logging_2560/tillsynsmail/A 586-2024 tillsynsbegäran mail.docx", "A 586-2024")</f>
        <v/>
      </c>
    </row>
    <row r="20" ht="15" customHeight="1">
      <c r="A20" t="inlineStr">
        <is>
          <t>A 26736-2024</t>
        </is>
      </c>
      <c r="B20" s="1" t="n">
        <v>45470</v>
      </c>
      <c r="C20" s="1" t="n">
        <v>45795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26736-2024 artfynd.xlsx", "A 26736-2024")</f>
        <v/>
      </c>
      <c r="T20">
        <f>HYPERLINK("https://klasma.github.io/Logging_2560/kartor/A 26736-2024 karta.png", "A 26736-2024")</f>
        <v/>
      </c>
      <c r="V20">
        <f>HYPERLINK("https://klasma.github.io/Logging_2560/klagomål/A 26736-2024 FSC-klagomål.docx", "A 26736-2024")</f>
        <v/>
      </c>
      <c r="W20">
        <f>HYPERLINK("https://klasma.github.io/Logging_2560/klagomålsmail/A 26736-2024 FSC-klagomål mail.docx", "A 26736-2024")</f>
        <v/>
      </c>
      <c r="X20">
        <f>HYPERLINK("https://klasma.github.io/Logging_2560/tillsyn/A 26736-2024 tillsynsbegäran.docx", "A 26736-2024")</f>
        <v/>
      </c>
      <c r="Y20">
        <f>HYPERLINK("https://klasma.github.io/Logging_2560/tillsynsmail/A 26736-2024 tillsynsbegäran mail.docx", "A 26736-2024")</f>
        <v/>
      </c>
    </row>
    <row r="21" ht="15" customHeight="1">
      <c r="A21" t="inlineStr">
        <is>
          <t>A 26968-2024</t>
        </is>
      </c>
      <c r="B21" s="1" t="n">
        <v>45471</v>
      </c>
      <c r="C21" s="1" t="n">
        <v>45795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26968-2024 artfynd.xlsx", "A 26968-2024")</f>
        <v/>
      </c>
      <c r="T21">
        <f>HYPERLINK("https://klasma.github.io/Logging_2560/kartor/A 26968-2024 karta.png", "A 26968-2024")</f>
        <v/>
      </c>
      <c r="V21">
        <f>HYPERLINK("https://klasma.github.io/Logging_2560/klagomål/A 26968-2024 FSC-klagomål.docx", "A 26968-2024")</f>
        <v/>
      </c>
      <c r="W21">
        <f>HYPERLINK("https://klasma.github.io/Logging_2560/klagomålsmail/A 26968-2024 FSC-klagomål mail.docx", "A 26968-2024")</f>
        <v/>
      </c>
      <c r="X21">
        <f>HYPERLINK("https://klasma.github.io/Logging_2560/tillsyn/A 26968-2024 tillsynsbegäran.docx", "A 26968-2024")</f>
        <v/>
      </c>
      <c r="Y21">
        <f>HYPERLINK("https://klasma.github.io/Logging_2560/tillsynsmail/A 26968-2024 tillsynsbegäran mail.docx", "A 26968-2024")</f>
        <v/>
      </c>
    </row>
    <row r="22" ht="15" customHeight="1">
      <c r="A22" t="inlineStr">
        <is>
          <t>A 73616-2021</t>
        </is>
      </c>
      <c r="B22" s="1" t="n">
        <v>44552</v>
      </c>
      <c r="C22" s="1" t="n">
        <v>45795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</v>
      </c>
      <c r="C23" s="1" t="n">
        <v>45795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45795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</v>
      </c>
      <c r="C25" s="1" t="n">
        <v>45795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HYPERLINK("https://klasma.github.io/Logging_252560/artfynd/A 22862-2025 artfynd.xlsx", "A 22862-2025")</f>
        <v/>
      </c>
      <c r="T25">
        <f>HYPERLINK("https://klasma.github.io/Logging_252560/kartor/A 22862-2025 karta.png", "A 22862-2025")</f>
        <v/>
      </c>
      <c r="V25">
        <f>HYPERLINK("https://klasma.github.io/Logging_252560/klagomål/A 22862-2025 FSC-klagomål.docx", "A 22862-2025")</f>
        <v/>
      </c>
      <c r="W25">
        <f>HYPERLINK("https://klasma.github.io/Logging_252560/klagomålsmail/A 22862-2025 FSC-klagomål mail.docx", "A 22862-2025")</f>
        <v/>
      </c>
      <c r="X25">
        <f>HYPERLINK("https://klasma.github.io/Logging_252560/tillsyn/A 22862-2025 tillsynsbegäran.docx", "A 22862-2025")</f>
        <v/>
      </c>
      <c r="Y25">
        <f>HYPERLINK("https://klasma.github.io/Logging_252560/tillsynsmail/A 22862-2025 tillsynsbegäran mail.docx", "A 22862-2025")</f>
        <v/>
      </c>
    </row>
    <row r="26" ht="15" customHeight="1">
      <c r="A26" t="inlineStr">
        <is>
          <t>A 3752-2023</t>
        </is>
      </c>
      <c r="B26" s="1" t="n">
        <v>44949</v>
      </c>
      <c r="C26" s="1" t="n">
        <v>45795</v>
      </c>
      <c r="D26" t="inlineStr">
        <is>
          <t>NORRBOTTENS LÄN</t>
        </is>
      </c>
      <c r="E26" t="inlineStr">
        <is>
          <t>ÄLVSBYN</t>
        </is>
      </c>
      <c r="G26" t="n">
        <v>3.7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Tretåig hackspett
Ullticka</t>
        </is>
      </c>
      <c r="S26">
        <f>HYPERLINK("https://klasma.github.io/Logging_2560/artfynd/A 3752-2023 artfynd.xlsx", "A 3752-2023")</f>
        <v/>
      </c>
      <c r="T26">
        <f>HYPERLINK("https://klasma.github.io/Logging_2560/kartor/A 3752-2023 karta.png", "A 3752-2023")</f>
        <v/>
      </c>
      <c r="V26">
        <f>HYPERLINK("https://klasma.github.io/Logging_2560/klagomål/A 3752-2023 FSC-klagomål.docx", "A 3752-2023")</f>
        <v/>
      </c>
      <c r="W26">
        <f>HYPERLINK("https://klasma.github.io/Logging_2560/klagomålsmail/A 3752-2023 FSC-klagomål mail.docx", "A 3752-2023")</f>
        <v/>
      </c>
      <c r="X26">
        <f>HYPERLINK("https://klasma.github.io/Logging_2560/tillsyn/A 3752-2023 tillsynsbegäran.docx", "A 3752-2023")</f>
        <v/>
      </c>
      <c r="Y26">
        <f>HYPERLINK("https://klasma.github.io/Logging_2560/tillsynsmail/A 3752-2023 tillsynsbegäran mail.docx", "A 3752-2023")</f>
        <v/>
      </c>
      <c r="Z26">
        <f>HYPERLINK("https://klasma.github.io/Logging_2560/fåglar/A 3752-2023 prioriterade fågelarter.docx", "A 3752-2023")</f>
        <v/>
      </c>
    </row>
    <row r="27" ht="15" customHeight="1">
      <c r="A27" t="inlineStr">
        <is>
          <t>A 28088-2023</t>
        </is>
      </c>
      <c r="B27" s="1" t="n">
        <v>45099</v>
      </c>
      <c r="C27" s="1" t="n">
        <v>45795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5.6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Fläckporing
Kolflarnlav
Lunglav</t>
        </is>
      </c>
      <c r="S27">
        <f>HYPERLINK("https://klasma.github.io/Logging_2560/artfynd/A 28088-2023 artfynd.xlsx", "A 28088-2023")</f>
        <v/>
      </c>
      <c r="T27">
        <f>HYPERLINK("https://klasma.github.io/Logging_2560/kartor/A 28088-2023 karta.png", "A 28088-2023")</f>
        <v/>
      </c>
      <c r="V27">
        <f>HYPERLINK("https://klasma.github.io/Logging_2560/klagomål/A 28088-2023 FSC-klagomål.docx", "A 28088-2023")</f>
        <v/>
      </c>
      <c r="W27">
        <f>HYPERLINK("https://klasma.github.io/Logging_2560/klagomålsmail/A 28088-2023 FSC-klagomål mail.docx", "A 28088-2023")</f>
        <v/>
      </c>
      <c r="X27">
        <f>HYPERLINK("https://klasma.github.io/Logging_2560/tillsyn/A 28088-2023 tillsynsbegäran.docx", "A 28088-2023")</f>
        <v/>
      </c>
      <c r="Y27">
        <f>HYPERLINK("https://klasma.github.io/Logging_2560/tillsynsmail/A 28088-2023 tillsynsbegäran mail.docx", "A 28088-2023")</f>
        <v/>
      </c>
    </row>
    <row r="28" ht="15" customHeight="1">
      <c r="A28" t="inlineStr">
        <is>
          <t>A 47132-2023</t>
        </is>
      </c>
      <c r="B28" s="1" t="n">
        <v>45201</v>
      </c>
      <c r="C28" s="1" t="n">
        <v>45795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Motaggsvamp
Skrovlig taggsvamp
Tallriska</t>
        </is>
      </c>
      <c r="S28">
        <f>HYPERLINK("https://klasma.github.io/Logging_2560/artfynd/A 47132-2023 artfynd.xlsx", "A 47132-2023")</f>
        <v/>
      </c>
      <c r="T28">
        <f>HYPERLINK("https://klasma.github.io/Logging_2560/kartor/A 47132-2023 karta.png", "A 47132-2023")</f>
        <v/>
      </c>
      <c r="V28">
        <f>HYPERLINK("https://klasma.github.io/Logging_2560/klagomål/A 47132-2023 FSC-klagomål.docx", "A 47132-2023")</f>
        <v/>
      </c>
      <c r="W28">
        <f>HYPERLINK("https://klasma.github.io/Logging_2560/klagomålsmail/A 47132-2023 FSC-klagomål mail.docx", "A 47132-2023")</f>
        <v/>
      </c>
      <c r="X28">
        <f>HYPERLINK("https://klasma.github.io/Logging_2560/tillsyn/A 47132-2023 tillsynsbegäran.docx", "A 47132-2023")</f>
        <v/>
      </c>
      <c r="Y28">
        <f>HYPERLINK("https://klasma.github.io/Logging_2560/tillsynsmail/A 47132-2023 tillsynsbegäran mail.docx", "A 47132-2023")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45795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44255-2024</t>
        </is>
      </c>
      <c r="B30" s="1" t="n">
        <v>45573</v>
      </c>
      <c r="C30" s="1" t="n">
        <v>45795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Rosenticka</t>
        </is>
      </c>
      <c r="S30">
        <f>HYPERLINK("https://klasma.github.io/Logging_2560/artfynd/A 44255-2024 artfynd.xlsx", "A 44255-2024")</f>
        <v/>
      </c>
      <c r="T30">
        <f>HYPERLINK("https://klasma.github.io/Logging_2560/kartor/A 44255-2024 karta.png", "A 44255-2024")</f>
        <v/>
      </c>
      <c r="V30">
        <f>HYPERLINK("https://klasma.github.io/Logging_2560/klagomål/A 44255-2024 FSC-klagomål.docx", "A 44255-2024")</f>
        <v/>
      </c>
      <c r="W30">
        <f>HYPERLINK("https://klasma.github.io/Logging_2560/klagomålsmail/A 44255-2024 FSC-klagomål mail.docx", "A 44255-2024")</f>
        <v/>
      </c>
      <c r="X30">
        <f>HYPERLINK("https://klasma.github.io/Logging_2560/tillsyn/A 44255-2024 tillsynsbegäran.docx", "A 44255-2024")</f>
        <v/>
      </c>
      <c r="Y30">
        <f>HYPERLINK("https://klasma.github.io/Logging_2560/tillsynsmail/A 44255-2024 tillsynsbegäran mail.docx", "A 44255-2024")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45795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45795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50156-2024</t>
        </is>
      </c>
      <c r="B33" s="1" t="n">
        <v>45600</v>
      </c>
      <c r="C33" s="1" t="n">
        <v>45795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55503-2024</t>
        </is>
      </c>
      <c r="B34" s="1" t="n">
        <v>45622</v>
      </c>
      <c r="C34" s="1" t="n">
        <v>45795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Vedflamlav
Dropptaggsvamp
Stuplav</t>
        </is>
      </c>
      <c r="S34">
        <f>HYPERLINK("https://klasma.github.io/Logging_2560/artfynd/A 55503-2024 artfynd.xlsx", "A 55503-2024")</f>
        <v/>
      </c>
      <c r="T34">
        <f>HYPERLINK("https://klasma.github.io/Logging_2560/kartor/A 55503-2024 karta.png", "A 55503-2024")</f>
        <v/>
      </c>
      <c r="V34">
        <f>HYPERLINK("https://klasma.github.io/Logging_2560/klagomål/A 55503-2024 FSC-klagomål.docx", "A 55503-2024")</f>
        <v/>
      </c>
      <c r="W34">
        <f>HYPERLINK("https://klasma.github.io/Logging_2560/klagomålsmail/A 55503-2024 FSC-klagomål mail.docx", "A 55503-2024")</f>
        <v/>
      </c>
      <c r="X34">
        <f>HYPERLINK("https://klasma.github.io/Logging_2560/tillsyn/A 55503-2024 tillsynsbegäran.docx", "A 55503-2024")</f>
        <v/>
      </c>
      <c r="Y34">
        <f>HYPERLINK("https://klasma.github.io/Logging_2560/tillsynsmail/A 55503-2024 tillsynsbegäran mail.docx", "A 55503-2024")</f>
        <v/>
      </c>
    </row>
    <row r="35" ht="15" customHeight="1">
      <c r="A35" t="inlineStr">
        <is>
          <t>A 8612-2020</t>
        </is>
      </c>
      <c r="B35" s="1" t="n">
        <v>43875</v>
      </c>
      <c r="C35" s="1" t="n">
        <v>45795</v>
      </c>
      <c r="D35" t="inlineStr">
        <is>
          <t>NORRBOTTENS LÄN</t>
        </is>
      </c>
      <c r="E35" t="inlineStr">
        <is>
          <t>ÄLVSBYN</t>
        </is>
      </c>
      <c r="G35" t="n">
        <v>1</v>
      </c>
      <c r="H35" t="n">
        <v>0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Rotfingersvamp
Smalfotad taggsvamp</t>
        </is>
      </c>
      <c r="S35">
        <f>HYPERLINK("https://klasma.github.io/Logging_2560/artfynd/A 8612-2020 artfynd.xlsx", "A 8612-2020")</f>
        <v/>
      </c>
      <c r="T35">
        <f>HYPERLINK("https://klasma.github.io/Logging_2560/kartor/A 8612-2020 karta.png", "A 8612-2020")</f>
        <v/>
      </c>
      <c r="V35">
        <f>HYPERLINK("https://klasma.github.io/Logging_2560/klagomål/A 8612-2020 FSC-klagomål.docx", "A 8612-2020")</f>
        <v/>
      </c>
      <c r="W35">
        <f>HYPERLINK("https://klasma.github.io/Logging_2560/klagomålsmail/A 8612-2020 FSC-klagomål mail.docx", "A 8612-2020")</f>
        <v/>
      </c>
      <c r="X35">
        <f>HYPERLINK("https://klasma.github.io/Logging_2560/tillsyn/A 8612-2020 tillsynsbegäran.docx", "A 8612-2020")</f>
        <v/>
      </c>
      <c r="Y35">
        <f>HYPERLINK("https://klasma.github.io/Logging_2560/tillsynsmail/A 8612-2020 tillsynsbegäran mail.docx", "A 8612-2020")</f>
        <v/>
      </c>
    </row>
    <row r="36" ht="15" customHeight="1">
      <c r="A36" t="inlineStr">
        <is>
          <t>A 52177-2021</t>
        </is>
      </c>
      <c r="B36" s="1" t="n">
        <v>44463</v>
      </c>
      <c r="C36" s="1" t="n">
        <v>45795</v>
      </c>
      <c r="D36" t="inlineStr">
        <is>
          <t>NORRBOTTENS LÄN</t>
        </is>
      </c>
      <c r="E36" t="inlineStr">
        <is>
          <t>ÄLVSBYN</t>
        </is>
      </c>
      <c r="G36" t="n">
        <v>36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Tjäder</t>
        </is>
      </c>
      <c r="S36">
        <f>HYPERLINK("https://klasma.github.io/Logging_2560/artfynd/A 52177-2021 artfynd.xlsx", "A 52177-2021")</f>
        <v/>
      </c>
      <c r="T36">
        <f>HYPERLINK("https://klasma.github.io/Logging_2560/kartor/A 52177-2021 karta.png", "A 52177-2021")</f>
        <v/>
      </c>
      <c r="V36">
        <f>HYPERLINK("https://klasma.github.io/Logging_2560/klagomål/A 52177-2021 FSC-klagomål.docx", "A 52177-2021")</f>
        <v/>
      </c>
      <c r="W36">
        <f>HYPERLINK("https://klasma.github.io/Logging_2560/klagomålsmail/A 52177-2021 FSC-klagomål mail.docx", "A 52177-2021")</f>
        <v/>
      </c>
      <c r="X36">
        <f>HYPERLINK("https://klasma.github.io/Logging_2560/tillsyn/A 52177-2021 tillsynsbegäran.docx", "A 52177-2021")</f>
        <v/>
      </c>
      <c r="Y36">
        <f>HYPERLINK("https://klasma.github.io/Logging_2560/tillsynsmail/A 52177-2021 tillsynsbegäran mail.docx", "A 52177-2021")</f>
        <v/>
      </c>
      <c r="Z36">
        <f>HYPERLINK("https://klasma.github.io/Logging_2560/fåglar/A 52177-2021 prioriterade fågelarter.docx", "A 52177-2021")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45795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29877-2023</t>
        </is>
      </c>
      <c r="B38" s="1" t="n">
        <v>45107</v>
      </c>
      <c r="C38" s="1" t="n">
        <v>45795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29877-2023 artfynd.xlsx", "A 29877-2023")</f>
        <v/>
      </c>
      <c r="T38">
        <f>HYPERLINK("https://klasma.github.io/Logging_2560/kartor/A 29877-2023 karta.png", "A 29877-2023")</f>
        <v/>
      </c>
      <c r="V38">
        <f>HYPERLINK("https://klasma.github.io/Logging_2560/klagomål/A 29877-2023 FSC-klagomål.docx", "A 29877-2023")</f>
        <v/>
      </c>
      <c r="W38">
        <f>HYPERLINK("https://klasma.github.io/Logging_2560/klagomålsmail/A 29877-2023 FSC-klagomål mail.docx", "A 29877-2023")</f>
        <v/>
      </c>
      <c r="X38">
        <f>HYPERLINK("https://klasma.github.io/Logging_2560/tillsyn/A 29877-2023 tillsynsbegäran.docx", "A 29877-2023")</f>
        <v/>
      </c>
      <c r="Y38">
        <f>HYPERLINK("https://klasma.github.io/Logging_2560/tillsynsmail/A 29877-2023 tillsynsbegäran mail.docx", "A 29877-2023")</f>
        <v/>
      </c>
    </row>
    <row r="39" ht="15" customHeight="1">
      <c r="A39" t="inlineStr">
        <is>
          <t>A 47131-2023</t>
        </is>
      </c>
      <c r="B39" s="1" t="n">
        <v>45201</v>
      </c>
      <c r="C39" s="1" t="n">
        <v>45795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13.6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Tallriska</t>
        </is>
      </c>
      <c r="S39">
        <f>HYPERLINK("https://klasma.github.io/Logging_2560/artfynd/A 47131-2023 artfynd.xlsx", "A 47131-2023")</f>
        <v/>
      </c>
      <c r="T39">
        <f>HYPERLINK("https://klasma.github.io/Logging_2560/kartor/A 47131-2023 karta.png", "A 47131-2023")</f>
        <v/>
      </c>
      <c r="V39">
        <f>HYPERLINK("https://klasma.github.io/Logging_2560/klagomål/A 47131-2023 FSC-klagomål.docx", "A 47131-2023")</f>
        <v/>
      </c>
      <c r="W39">
        <f>HYPERLINK("https://klasma.github.io/Logging_2560/klagomålsmail/A 47131-2023 FSC-klagomål mail.docx", "A 47131-2023")</f>
        <v/>
      </c>
      <c r="X39">
        <f>HYPERLINK("https://klasma.github.io/Logging_2560/tillsyn/A 47131-2023 tillsynsbegäran.docx", "A 47131-2023")</f>
        <v/>
      </c>
      <c r="Y39">
        <f>HYPERLINK("https://klasma.github.io/Logging_2560/tillsynsmail/A 47131-2023 tillsynsbegäran mail.docx", "A 47131-2023")</f>
        <v/>
      </c>
    </row>
    <row r="40" ht="15" customHeight="1">
      <c r="A40" t="inlineStr">
        <is>
          <t>A 569-2024</t>
        </is>
      </c>
      <c r="B40" s="1" t="n">
        <v>45299</v>
      </c>
      <c r="C40" s="1" t="n">
        <v>45795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Skarp dropptaggsvamp</t>
        </is>
      </c>
      <c r="S40">
        <f>HYPERLINK("https://klasma.github.io/Logging_2560/artfynd/A 569-2024 artfynd.xlsx", "A 569-2024")</f>
        <v/>
      </c>
      <c r="T40">
        <f>HYPERLINK("https://klasma.github.io/Logging_2560/kartor/A 569-2024 karta.png", "A 569-2024")</f>
        <v/>
      </c>
      <c r="V40">
        <f>HYPERLINK("https://klasma.github.io/Logging_2560/klagomål/A 569-2024 FSC-klagomål.docx", "A 569-2024")</f>
        <v/>
      </c>
      <c r="W40">
        <f>HYPERLINK("https://klasma.github.io/Logging_2560/klagomålsmail/A 569-2024 FSC-klagomål mail.docx", "A 569-2024")</f>
        <v/>
      </c>
      <c r="X40">
        <f>HYPERLINK("https://klasma.github.io/Logging_2560/tillsyn/A 569-2024 tillsynsbegäran.docx", "A 569-2024")</f>
        <v/>
      </c>
      <c r="Y40">
        <f>HYPERLINK("https://klasma.github.io/Logging_2560/tillsynsmail/A 569-2024 tillsynsbegäran mail.docx", "A 569-2024")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45795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45795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45795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45795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45795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45314-2024</t>
        </is>
      </c>
      <c r="B46" s="1" t="n">
        <v>45576</v>
      </c>
      <c r="C46" s="1" t="n">
        <v>45795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8.6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Orange taggsvamp
Dropptaggsvamp</t>
        </is>
      </c>
      <c r="S46">
        <f>HYPERLINK("https://klasma.github.io/Logging_2560/artfynd/A 45314-2024 artfynd.xlsx", "A 45314-2024")</f>
        <v/>
      </c>
      <c r="T46">
        <f>HYPERLINK("https://klasma.github.io/Logging_2560/kartor/A 45314-2024 karta.png", "A 45314-2024")</f>
        <v/>
      </c>
      <c r="V46">
        <f>HYPERLINK("https://klasma.github.io/Logging_2560/klagomål/A 45314-2024 FSC-klagomål.docx", "A 45314-2024")</f>
        <v/>
      </c>
      <c r="W46">
        <f>HYPERLINK("https://klasma.github.io/Logging_2560/klagomålsmail/A 45314-2024 FSC-klagomål mail.docx", "A 45314-2024")</f>
        <v/>
      </c>
      <c r="X46">
        <f>HYPERLINK("https://klasma.github.io/Logging_2560/tillsyn/A 45314-2024 tillsynsbegäran.docx", "A 45314-2024")</f>
        <v/>
      </c>
      <c r="Y46">
        <f>HYPERLINK("https://klasma.github.io/Logging_2560/tillsynsmail/A 45314-2024 tillsynsbegäran mail.docx", "A 45314-2024")</f>
        <v/>
      </c>
    </row>
    <row r="47" ht="15" customHeight="1">
      <c r="A47" t="inlineStr">
        <is>
          <t>A 45317-2024</t>
        </is>
      </c>
      <c r="B47" s="1" t="n">
        <v>45576</v>
      </c>
      <c r="C47" s="1" t="n">
        <v>45795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Skarp dropptaggsvamp</t>
        </is>
      </c>
      <c r="S47">
        <f>HYPERLINK("https://klasma.github.io/Logging_2560/artfynd/A 45317-2024 artfynd.xlsx", "A 45317-2024")</f>
        <v/>
      </c>
      <c r="T47">
        <f>HYPERLINK("https://klasma.github.io/Logging_2560/kartor/A 45317-2024 karta.png", "A 45317-2024")</f>
        <v/>
      </c>
      <c r="V47">
        <f>HYPERLINK("https://klasma.github.io/Logging_2560/klagomål/A 45317-2024 FSC-klagomål.docx", "A 45317-2024")</f>
        <v/>
      </c>
      <c r="W47">
        <f>HYPERLINK("https://klasma.github.io/Logging_2560/klagomålsmail/A 45317-2024 FSC-klagomål mail.docx", "A 45317-2024")</f>
        <v/>
      </c>
      <c r="X47">
        <f>HYPERLINK("https://klasma.github.io/Logging_2560/tillsyn/A 45317-2024 tillsynsbegäran.docx", "A 45317-2024")</f>
        <v/>
      </c>
      <c r="Y47">
        <f>HYPERLINK("https://klasma.github.io/Logging_2560/tillsynsmail/A 45317-2024 tillsynsbegäran mail.docx", "A 45317-2024")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45795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21856-2025</t>
        </is>
      </c>
      <c r="B49" s="1" t="n">
        <v>45784</v>
      </c>
      <c r="C49" s="1" t="n">
        <v>45795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26.9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Tibast</t>
        </is>
      </c>
      <c r="S49">
        <f>HYPERLINK("https://klasma.github.io/Logging_252560/artfynd/A 21856-2025 artfynd.xlsx", "A 21856-2025")</f>
        <v/>
      </c>
      <c r="T49">
        <f>HYPERLINK("https://klasma.github.io/Logging_252560/kartor/A 21856-2025 karta.png", "A 21856-2025")</f>
        <v/>
      </c>
      <c r="V49">
        <f>HYPERLINK("https://klasma.github.io/Logging_252560/klagomål/A 21856-2025 FSC-klagomål.docx", "A 21856-2025")</f>
        <v/>
      </c>
      <c r="W49">
        <f>HYPERLINK("https://klasma.github.io/Logging_252560/klagomålsmail/A 21856-2025 FSC-klagomål mail.docx", "A 21856-2025")</f>
        <v/>
      </c>
      <c r="X49">
        <f>HYPERLINK("https://klasma.github.io/Logging_252560/tillsyn/A 21856-2025 tillsynsbegäran.docx", "A 21856-2025")</f>
        <v/>
      </c>
      <c r="Y49">
        <f>HYPERLINK("https://klasma.github.io/Logging_252560/tillsynsmail/A 21856-2025 tillsynsbegäran mail.docx", "A 21856-2025")</f>
        <v/>
      </c>
    </row>
    <row r="50" ht="15" customHeight="1">
      <c r="A50" t="inlineStr">
        <is>
          <t>A 22567-2025</t>
        </is>
      </c>
      <c r="B50" s="1" t="n">
        <v>45789</v>
      </c>
      <c r="C50" s="1" t="n">
        <v>45795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Rotfingersvamp
Orange taggsvamp</t>
        </is>
      </c>
      <c r="S50">
        <f>HYPERLINK("https://klasma.github.io/Logging_252560/artfynd/A 22567-2025 artfynd.xlsx", "A 22567-2025")</f>
        <v/>
      </c>
      <c r="T50">
        <f>HYPERLINK("https://klasma.github.io/Logging_252560/kartor/A 22567-2025 karta.png", "A 22567-2025")</f>
        <v/>
      </c>
      <c r="V50">
        <f>HYPERLINK("https://klasma.github.io/Logging_252560/klagomål/A 22567-2025 FSC-klagomål.docx", "A 22567-2025")</f>
        <v/>
      </c>
      <c r="W50">
        <f>HYPERLINK("https://klasma.github.io/Logging_252560/klagomålsmail/A 22567-2025 FSC-klagomål mail.docx", "A 22567-2025")</f>
        <v/>
      </c>
      <c r="X50">
        <f>HYPERLINK("https://klasma.github.io/Logging_252560/tillsyn/A 22567-2025 tillsynsbegäran.docx", "A 22567-2025")</f>
        <v/>
      </c>
      <c r="Y50">
        <f>HYPERLINK("https://klasma.github.io/Logging_252560/tillsynsmail/A 22567-2025 tillsynsbegäran mail.docx", "A 22567-2025")</f>
        <v/>
      </c>
    </row>
    <row r="51" ht="15" customHeight="1">
      <c r="A51" t="inlineStr">
        <is>
          <t>A 51078-2019</t>
        </is>
      </c>
      <c r="B51" s="1" t="n">
        <v>43739</v>
      </c>
      <c r="C51" s="1" t="n">
        <v>45795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51078-2019 artfynd.xlsx", "A 51078-2019")</f>
        <v/>
      </c>
      <c r="T51">
        <f>HYPERLINK("https://klasma.github.io/Logging_2560/kartor/A 51078-2019 karta.png", "A 51078-2019")</f>
        <v/>
      </c>
      <c r="V51">
        <f>HYPERLINK("https://klasma.github.io/Logging_2560/klagomål/A 51078-2019 FSC-klagomål.docx", "A 51078-2019")</f>
        <v/>
      </c>
      <c r="W51">
        <f>HYPERLINK("https://klasma.github.io/Logging_2560/klagomålsmail/A 51078-2019 FSC-klagomål mail.docx", "A 51078-2019")</f>
        <v/>
      </c>
      <c r="X51">
        <f>HYPERLINK("https://klasma.github.io/Logging_2560/tillsyn/A 51078-2019 tillsynsbegäran.docx", "A 51078-2019")</f>
        <v/>
      </c>
      <c r="Y51">
        <f>HYPERLINK("https://klasma.github.io/Logging_2560/tillsynsmail/A 51078-2019 tillsynsbegäran mail.docx", "A 51078-2019")</f>
        <v/>
      </c>
      <c r="Z51">
        <f>HYPERLINK("https://klasma.github.io/Logging_2560/fåglar/A 51078-2019 prioriterade fågelarter.docx", "A 51078-2019")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45795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45795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34022-2022</t>
        </is>
      </c>
      <c r="B54" s="1" t="n">
        <v>44791</v>
      </c>
      <c r="C54" s="1" t="n">
        <v>45795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34022-2022 artfynd.xlsx", "A 34022-2022")</f>
        <v/>
      </c>
      <c r="T54">
        <f>HYPERLINK("https://klasma.github.io/Logging_2560/kartor/A 34022-2022 karta.png", "A 34022-2022")</f>
        <v/>
      </c>
      <c r="V54">
        <f>HYPERLINK("https://klasma.github.io/Logging_2560/klagomål/A 34022-2022 FSC-klagomål.docx", "A 34022-2022")</f>
        <v/>
      </c>
      <c r="W54">
        <f>HYPERLINK("https://klasma.github.io/Logging_2560/klagomålsmail/A 34022-2022 FSC-klagomål mail.docx", "A 34022-2022")</f>
        <v/>
      </c>
      <c r="X54">
        <f>HYPERLINK("https://klasma.github.io/Logging_2560/tillsyn/A 34022-2022 tillsynsbegäran.docx", "A 34022-2022")</f>
        <v/>
      </c>
      <c r="Y54">
        <f>HYPERLINK("https://klasma.github.io/Logging_2560/tillsynsmail/A 34022-2022 tillsynsbegäran mail.docx", "A 34022-2022")</f>
        <v/>
      </c>
    </row>
    <row r="55" ht="15" customHeight="1">
      <c r="A55" t="inlineStr">
        <is>
          <t>A 38620-2022</t>
        </is>
      </c>
      <c r="B55" s="1" t="n">
        <v>44813</v>
      </c>
      <c r="C55" s="1" t="n">
        <v>45795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42680-2022</t>
        </is>
      </c>
      <c r="B56" s="1" t="n">
        <v>44832</v>
      </c>
      <c r="C56" s="1" t="n">
        <v>45795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42680-2022 artfynd.xlsx", "A 42680-2022")</f>
        <v/>
      </c>
      <c r="T56">
        <f>HYPERLINK("https://klasma.github.io/Logging_2560/kartor/A 42680-2022 karta.png", "A 42680-2022")</f>
        <v/>
      </c>
      <c r="V56">
        <f>HYPERLINK("https://klasma.github.io/Logging_2560/klagomål/A 42680-2022 FSC-klagomål.docx", "A 42680-2022")</f>
        <v/>
      </c>
      <c r="W56">
        <f>HYPERLINK("https://klasma.github.io/Logging_2560/klagomålsmail/A 42680-2022 FSC-klagomål mail.docx", "A 42680-2022")</f>
        <v/>
      </c>
      <c r="X56">
        <f>HYPERLINK("https://klasma.github.io/Logging_2560/tillsyn/A 42680-2022 tillsynsbegäran.docx", "A 42680-2022")</f>
        <v/>
      </c>
      <c r="Y56">
        <f>HYPERLINK("https://klasma.github.io/Logging_2560/tillsynsmail/A 42680-2022 tillsynsbegäran mail.docx", "A 42680-2022")</f>
        <v/>
      </c>
    </row>
    <row r="57" ht="15" customHeight="1">
      <c r="A57" t="inlineStr">
        <is>
          <t>A 44283-2022</t>
        </is>
      </c>
      <c r="B57" s="1" t="n">
        <v>44839</v>
      </c>
      <c r="C57" s="1" t="n">
        <v>45795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44283-2022 artfynd.xlsx", "A 44283-2022")</f>
        <v/>
      </c>
      <c r="T57">
        <f>HYPERLINK("https://klasma.github.io/Logging_2560/kartor/A 44283-2022 karta.png", "A 44283-2022")</f>
        <v/>
      </c>
      <c r="V57">
        <f>HYPERLINK("https://klasma.github.io/Logging_2560/klagomål/A 44283-2022 FSC-klagomål.docx", "A 44283-2022")</f>
        <v/>
      </c>
      <c r="W57">
        <f>HYPERLINK("https://klasma.github.io/Logging_2560/klagomålsmail/A 44283-2022 FSC-klagomål mail.docx", "A 44283-2022")</f>
        <v/>
      </c>
      <c r="X57">
        <f>HYPERLINK("https://klasma.github.io/Logging_2560/tillsyn/A 44283-2022 tillsynsbegäran.docx", "A 44283-2022")</f>
        <v/>
      </c>
      <c r="Y57">
        <f>HYPERLINK("https://klasma.github.io/Logging_2560/tillsynsmail/A 44283-2022 tillsynsbegäran mail.docx", "A 44283-2022")</f>
        <v/>
      </c>
    </row>
    <row r="58" ht="15" customHeight="1">
      <c r="A58" t="inlineStr">
        <is>
          <t>A 31829-2023</t>
        </is>
      </c>
      <c r="B58" s="1" t="n">
        <v>45106</v>
      </c>
      <c r="C58" s="1" t="n">
        <v>45795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HYPERLINK("https://klasma.github.io/Logging_2560/artfynd/A 31829-2023 artfynd.xlsx", "A 31829-2023")</f>
        <v/>
      </c>
      <c r="T58">
        <f>HYPERLINK("https://klasma.github.io/Logging_2560/kartor/A 31829-2023 karta.png", "A 31829-2023")</f>
        <v/>
      </c>
      <c r="V58">
        <f>HYPERLINK("https://klasma.github.io/Logging_2560/klagomål/A 31829-2023 FSC-klagomål.docx", "A 31829-2023")</f>
        <v/>
      </c>
      <c r="W58">
        <f>HYPERLINK("https://klasma.github.io/Logging_2560/klagomålsmail/A 31829-2023 FSC-klagomål mail.docx", "A 31829-2023")</f>
        <v/>
      </c>
      <c r="X58">
        <f>HYPERLINK("https://klasma.github.io/Logging_2560/tillsyn/A 31829-2023 tillsynsbegäran.docx", "A 31829-2023")</f>
        <v/>
      </c>
      <c r="Y58">
        <f>HYPERLINK("https://klasma.github.io/Logging_2560/tillsynsmail/A 31829-2023 tillsynsbegäran mail.docx", "A 31829-2023")</f>
        <v/>
      </c>
      <c r="Z58">
        <f>HYPERLINK("https://klasma.github.io/Logging_2560/fåglar/A 31829-2023 prioriterade fågelarter.docx", "A 31829-2023")</f>
        <v/>
      </c>
    </row>
    <row r="59" ht="15" customHeight="1">
      <c r="A59" t="inlineStr">
        <is>
          <t>A 29651-2023</t>
        </is>
      </c>
      <c r="B59" s="1" t="n">
        <v>45107</v>
      </c>
      <c r="C59" s="1" t="n">
        <v>45795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29651-2023 artfynd.xlsx", "A 29651-2023")</f>
        <v/>
      </c>
      <c r="T59">
        <f>HYPERLINK("https://klasma.github.io/Logging_2560/kartor/A 29651-2023 karta.png", "A 29651-2023")</f>
        <v/>
      </c>
      <c r="V59">
        <f>HYPERLINK("https://klasma.github.io/Logging_2560/klagomål/A 29651-2023 FSC-klagomål.docx", "A 29651-2023")</f>
        <v/>
      </c>
      <c r="W59">
        <f>HYPERLINK("https://klasma.github.io/Logging_2560/klagomålsmail/A 29651-2023 FSC-klagomål mail.docx", "A 29651-2023")</f>
        <v/>
      </c>
      <c r="X59">
        <f>HYPERLINK("https://klasma.github.io/Logging_2560/tillsyn/A 29651-2023 tillsynsbegäran.docx", "A 29651-2023")</f>
        <v/>
      </c>
      <c r="Y59">
        <f>HYPERLINK("https://klasma.github.io/Logging_2560/tillsynsmail/A 29651-2023 tillsynsbegäran mail.docx", "A 29651-2023")</f>
        <v/>
      </c>
    </row>
    <row r="60" ht="15" customHeight="1">
      <c r="A60" t="inlineStr">
        <is>
          <t>A 29650-2023</t>
        </is>
      </c>
      <c r="B60" s="1" t="n">
        <v>45107</v>
      </c>
      <c r="C60" s="1" t="n">
        <v>45795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29650-2023 artfynd.xlsx", "A 29650-2023")</f>
        <v/>
      </c>
      <c r="T60">
        <f>HYPERLINK("https://klasma.github.io/Logging_2560/kartor/A 29650-2023 karta.png", "A 29650-2023")</f>
        <v/>
      </c>
      <c r="V60">
        <f>HYPERLINK("https://klasma.github.io/Logging_2560/klagomål/A 29650-2023 FSC-klagomål.docx", "A 29650-2023")</f>
        <v/>
      </c>
      <c r="W60">
        <f>HYPERLINK("https://klasma.github.io/Logging_2560/klagomålsmail/A 29650-2023 FSC-klagomål mail.docx", "A 29650-2023")</f>
        <v/>
      </c>
      <c r="X60">
        <f>HYPERLINK("https://klasma.github.io/Logging_2560/tillsyn/A 29650-2023 tillsynsbegäran.docx", "A 29650-2023")</f>
        <v/>
      </c>
      <c r="Y60">
        <f>HYPERLINK("https://klasma.github.io/Logging_2560/tillsynsmail/A 29650-2023 tillsynsbegäran mail.docx", "A 29650-2023")</f>
        <v/>
      </c>
    </row>
    <row r="61" ht="15" customHeight="1">
      <c r="A61" t="inlineStr">
        <is>
          <t>A 37717-2023</t>
        </is>
      </c>
      <c r="B61" s="1" t="n">
        <v>45159</v>
      </c>
      <c r="C61" s="1" t="n">
        <v>45795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37717-2023 artfynd.xlsx", "A 37717-2023")</f>
        <v/>
      </c>
      <c r="T61">
        <f>HYPERLINK("https://klasma.github.io/Logging_2560/kartor/A 37717-2023 karta.png", "A 37717-2023")</f>
        <v/>
      </c>
      <c r="V61">
        <f>HYPERLINK("https://klasma.github.io/Logging_2560/klagomål/A 37717-2023 FSC-klagomål.docx", "A 37717-2023")</f>
        <v/>
      </c>
      <c r="W61">
        <f>HYPERLINK("https://klasma.github.io/Logging_2560/klagomålsmail/A 37717-2023 FSC-klagomål mail.docx", "A 37717-2023")</f>
        <v/>
      </c>
      <c r="X61">
        <f>HYPERLINK("https://klasma.github.io/Logging_2560/tillsyn/A 37717-2023 tillsynsbegäran.docx", "A 37717-2023")</f>
        <v/>
      </c>
      <c r="Y61">
        <f>HYPERLINK("https://klasma.github.io/Logging_2560/tillsynsmail/A 37717-2023 tillsynsbegäran mail.docx", "A 37717-2023")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45795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45795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6275-2024</t>
        </is>
      </c>
      <c r="B64" s="1" t="n">
        <v>45337</v>
      </c>
      <c r="C64" s="1" t="n">
        <v>45795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HYPERLINK("https://klasma.github.io/Logging_2560/artfynd/A 6275-2024 artfynd.xlsx", "A 6275-2024")</f>
        <v/>
      </c>
      <c r="T64">
        <f>HYPERLINK("https://klasma.github.io/Logging_2560/kartor/A 6275-2024 karta.png", "A 6275-2024")</f>
        <v/>
      </c>
      <c r="V64">
        <f>HYPERLINK("https://klasma.github.io/Logging_2560/klagomål/A 6275-2024 FSC-klagomål.docx", "A 6275-2024")</f>
        <v/>
      </c>
      <c r="W64">
        <f>HYPERLINK("https://klasma.github.io/Logging_2560/klagomålsmail/A 6275-2024 FSC-klagomål mail.docx", "A 6275-2024")</f>
        <v/>
      </c>
      <c r="X64">
        <f>HYPERLINK("https://klasma.github.io/Logging_2560/tillsyn/A 6275-2024 tillsynsbegäran.docx", "A 6275-2024")</f>
        <v/>
      </c>
      <c r="Y64">
        <f>HYPERLINK("https://klasma.github.io/Logging_2560/tillsynsmail/A 6275-2024 tillsynsbegäran mail.docx", "A 6275-2024")</f>
        <v/>
      </c>
    </row>
    <row r="65" ht="15" customHeight="1">
      <c r="A65" t="inlineStr">
        <is>
          <t>A 21974-2024</t>
        </is>
      </c>
      <c r="B65" s="1" t="n">
        <v>45443</v>
      </c>
      <c r="C65" s="1" t="n">
        <v>45795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21974-2024 artfynd.xlsx", "A 21974-2024")</f>
        <v/>
      </c>
      <c r="T65">
        <f>HYPERLINK("https://klasma.github.io/Logging_2560/kartor/A 21974-2024 karta.png", "A 21974-2024")</f>
        <v/>
      </c>
      <c r="V65">
        <f>HYPERLINK("https://klasma.github.io/Logging_2560/klagomål/A 21974-2024 FSC-klagomål.docx", "A 21974-2024")</f>
        <v/>
      </c>
      <c r="W65">
        <f>HYPERLINK("https://klasma.github.io/Logging_2560/klagomålsmail/A 21974-2024 FSC-klagomål mail.docx", "A 21974-2024")</f>
        <v/>
      </c>
      <c r="X65">
        <f>HYPERLINK("https://klasma.github.io/Logging_2560/tillsyn/A 21974-2024 tillsynsbegäran.docx", "A 21974-2024")</f>
        <v/>
      </c>
      <c r="Y65">
        <f>HYPERLINK("https://klasma.github.io/Logging_2560/tillsynsmail/A 21974-2024 tillsynsbegäran mail.docx", "A 21974-2024")</f>
        <v/>
      </c>
    </row>
    <row r="66" ht="15" customHeight="1">
      <c r="A66" t="inlineStr">
        <is>
          <t>A 21858-2024</t>
        </is>
      </c>
      <c r="B66" s="1" t="n">
        <v>45443</v>
      </c>
      <c r="C66" s="1" t="n">
        <v>45795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16.2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21858-2024 artfynd.xlsx", "A 21858-2024")</f>
        <v/>
      </c>
      <c r="T66">
        <f>HYPERLINK("https://klasma.github.io/Logging_2560/kartor/A 21858-2024 karta.png", "A 21858-2024")</f>
        <v/>
      </c>
      <c r="V66">
        <f>HYPERLINK("https://klasma.github.io/Logging_2560/klagomål/A 21858-2024 FSC-klagomål.docx", "A 21858-2024")</f>
        <v/>
      </c>
      <c r="W66">
        <f>HYPERLINK("https://klasma.github.io/Logging_2560/klagomålsmail/A 21858-2024 FSC-klagomål mail.docx", "A 21858-2024")</f>
        <v/>
      </c>
      <c r="X66">
        <f>HYPERLINK("https://klasma.github.io/Logging_2560/tillsyn/A 21858-2024 tillsynsbegäran.docx", "A 21858-2024")</f>
        <v/>
      </c>
      <c r="Y66">
        <f>HYPERLINK("https://klasma.github.io/Logging_2560/tillsynsmail/A 21858-2024 tillsynsbegäran mail.docx", "A 21858-2024")</f>
        <v/>
      </c>
    </row>
    <row r="67" ht="15" customHeight="1">
      <c r="A67" t="inlineStr">
        <is>
          <t>A 23132-2024</t>
        </is>
      </c>
      <c r="B67" s="1" t="n">
        <v>45450</v>
      </c>
      <c r="C67" s="1" t="n">
        <v>45795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23132-2024 artfynd.xlsx", "A 23132-2024")</f>
        <v/>
      </c>
      <c r="T67">
        <f>HYPERLINK("https://klasma.github.io/Logging_2560/kartor/A 23132-2024 karta.png", "A 23132-2024")</f>
        <v/>
      </c>
      <c r="V67">
        <f>HYPERLINK("https://klasma.github.io/Logging_2560/klagomål/A 23132-2024 FSC-klagomål.docx", "A 23132-2024")</f>
        <v/>
      </c>
      <c r="W67">
        <f>HYPERLINK("https://klasma.github.io/Logging_2560/klagomålsmail/A 23132-2024 FSC-klagomål mail.docx", "A 23132-2024")</f>
        <v/>
      </c>
      <c r="X67">
        <f>HYPERLINK("https://klasma.github.io/Logging_2560/tillsyn/A 23132-2024 tillsynsbegäran.docx", "A 23132-2024")</f>
        <v/>
      </c>
      <c r="Y67">
        <f>HYPERLINK("https://klasma.github.io/Logging_2560/tillsynsmail/A 23132-2024 tillsynsbegäran mail.docx", "A 23132-2024")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45795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43774-2024</t>
        </is>
      </c>
      <c r="B69" s="1" t="n">
        <v>45570</v>
      </c>
      <c r="C69" s="1" t="n">
        <v>45795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Gammelgransskål</t>
        </is>
      </c>
      <c r="S69">
        <f>HYPERLINK("https://klasma.github.io/Logging_2560/artfynd/A 43774-2024 artfynd.xlsx", "A 43774-2024")</f>
        <v/>
      </c>
      <c r="T69">
        <f>HYPERLINK("https://klasma.github.io/Logging_2560/kartor/A 43774-2024 karta.png", "A 43774-2024")</f>
        <v/>
      </c>
      <c r="V69">
        <f>HYPERLINK("https://klasma.github.io/Logging_2560/klagomål/A 43774-2024 FSC-klagomål.docx", "A 43774-2024")</f>
        <v/>
      </c>
      <c r="W69">
        <f>HYPERLINK("https://klasma.github.io/Logging_2560/klagomålsmail/A 43774-2024 FSC-klagomål mail.docx", "A 43774-2024")</f>
        <v/>
      </c>
      <c r="X69">
        <f>HYPERLINK("https://klasma.github.io/Logging_2560/tillsyn/A 43774-2024 tillsynsbegäran.docx", "A 43774-2024")</f>
        <v/>
      </c>
      <c r="Y69">
        <f>HYPERLINK("https://klasma.github.io/Logging_2560/tillsynsmail/A 43774-2024 tillsynsbegäran mail.docx", "A 43774-2024")</f>
        <v/>
      </c>
    </row>
    <row r="70" ht="15" customHeight="1">
      <c r="A70" t="inlineStr">
        <is>
          <t>A 55788-2024</t>
        </is>
      </c>
      <c r="B70" s="1" t="n">
        <v>45623</v>
      </c>
      <c r="C70" s="1" t="n">
        <v>45795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HYPERLINK("https://klasma.github.io/Logging_2560/artfynd/A 55788-2024 artfynd.xlsx", "A 55788-2024")</f>
        <v/>
      </c>
      <c r="T70">
        <f>HYPERLINK("https://klasma.github.io/Logging_2560/kartor/A 55788-2024 karta.png", "A 55788-2024")</f>
        <v/>
      </c>
      <c r="V70">
        <f>HYPERLINK("https://klasma.github.io/Logging_2560/klagomål/A 55788-2024 FSC-klagomål.docx", "A 55788-2024")</f>
        <v/>
      </c>
      <c r="W70">
        <f>HYPERLINK("https://klasma.github.io/Logging_2560/klagomålsmail/A 55788-2024 FSC-klagomål mail.docx", "A 55788-2024")</f>
        <v/>
      </c>
      <c r="X70">
        <f>HYPERLINK("https://klasma.github.io/Logging_2560/tillsyn/A 55788-2024 tillsynsbegäran.docx", "A 55788-2024")</f>
        <v/>
      </c>
      <c r="Y70">
        <f>HYPERLINK("https://klasma.github.io/Logging_2560/tillsynsmail/A 55788-2024 tillsynsbegäran mail.docx", "A 55788-2024")</f>
        <v/>
      </c>
    </row>
    <row r="71" ht="15" customHeight="1">
      <c r="A71" t="inlineStr">
        <is>
          <t>A 56551-2024</t>
        </is>
      </c>
      <c r="B71" s="1" t="n">
        <v>45625</v>
      </c>
      <c r="C71" s="1" t="n">
        <v>45795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HYPERLINK("https://klasma.github.io/Logging_2560/artfynd/A 56551-2024 artfynd.xlsx", "A 56551-2024")</f>
        <v/>
      </c>
      <c r="T71">
        <f>HYPERLINK("https://klasma.github.io/Logging_2560/kartor/A 56551-2024 karta.png", "A 56551-2024")</f>
        <v/>
      </c>
      <c r="V71">
        <f>HYPERLINK("https://klasma.github.io/Logging_2560/klagomål/A 56551-2024 FSC-klagomål.docx", "A 56551-2024")</f>
        <v/>
      </c>
      <c r="W71">
        <f>HYPERLINK("https://klasma.github.io/Logging_2560/klagomålsmail/A 56551-2024 FSC-klagomål mail.docx", "A 56551-2024")</f>
        <v/>
      </c>
      <c r="X71">
        <f>HYPERLINK("https://klasma.github.io/Logging_2560/tillsyn/A 56551-2024 tillsynsbegäran.docx", "A 56551-2024")</f>
        <v/>
      </c>
      <c r="Y71">
        <f>HYPERLINK("https://klasma.github.io/Logging_2560/tillsynsmail/A 56551-2024 tillsynsbegäran mail.docx", "A 56551-2024")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45795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45795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HYPERLINK("https://klasma.github.io/Logging_252560/artfynd/A 20466-2025 artfynd.xlsx", "A 20466-2025")</f>
        <v/>
      </c>
      <c r="T73">
        <f>HYPERLINK("https://klasma.github.io/Logging_252560/kartor/A 20466-2025 karta.png", "A 20466-2025")</f>
        <v/>
      </c>
      <c r="V73">
        <f>HYPERLINK("https://klasma.github.io/Logging_252560/klagomål/A 20466-2025 FSC-klagomål.docx", "A 20466-2025")</f>
        <v/>
      </c>
      <c r="W73">
        <f>HYPERLINK("https://klasma.github.io/Logging_252560/klagomålsmail/A 20466-2025 FSC-klagomål mail.docx", "A 20466-2025")</f>
        <v/>
      </c>
      <c r="X73">
        <f>HYPERLINK("https://klasma.github.io/Logging_252560/tillsyn/A 20466-2025 tillsynsbegäran.docx", "A 20466-2025")</f>
        <v/>
      </c>
      <c r="Y73">
        <f>HYPERLINK("https://klasma.github.io/Logging_252560/tillsynsmail/A 20466-2025 tillsynsbegäran mail.docx", "A 20466-2025")</f>
        <v/>
      </c>
    </row>
    <row r="74" ht="15" customHeight="1">
      <c r="A74" t="inlineStr">
        <is>
          <t>A 23610-2019</t>
        </is>
      </c>
      <c r="B74" s="1" t="n">
        <v>43594</v>
      </c>
      <c r="C74" s="1" t="n">
        <v>45795</v>
      </c>
      <c r="D74" t="inlineStr">
        <is>
          <t>NORRBOTTENS LÄN</t>
        </is>
      </c>
      <c r="E74" t="inlineStr">
        <is>
          <t>ÄLVSBYN</t>
        </is>
      </c>
      <c r="F74" t="inlineStr">
        <is>
          <t>Kommuner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23647-2019</t>
        </is>
      </c>
      <c r="B75" s="1" t="n">
        <v>43594</v>
      </c>
      <c r="C75" s="1" t="n">
        <v>45795</v>
      </c>
      <c r="D75" t="inlineStr">
        <is>
          <t>NORRBOTTENS LÄN</t>
        </is>
      </c>
      <c r="E75" t="inlineStr">
        <is>
          <t>ÄLVSBYN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23642-2019</t>
        </is>
      </c>
      <c r="B76" s="1" t="n">
        <v>43594</v>
      </c>
      <c r="C76" s="1" t="n">
        <v>45795</v>
      </c>
      <c r="D76" t="inlineStr">
        <is>
          <t>NORRBOTTENS LÄN</t>
        </is>
      </c>
      <c r="E76" t="inlineStr">
        <is>
          <t>ÄLVSBYN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24129-2019</t>
        </is>
      </c>
      <c r="B77" s="1" t="n">
        <v>43598</v>
      </c>
      <c r="C77" s="1" t="n">
        <v>45795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25214-2019</t>
        </is>
      </c>
      <c r="B78" s="1" t="n">
        <v>43600</v>
      </c>
      <c r="C78" s="1" t="n">
        <v>45795</v>
      </c>
      <c r="D78" t="inlineStr">
        <is>
          <t>NORRBOTTENS LÄN</t>
        </is>
      </c>
      <c r="E78" t="inlineStr">
        <is>
          <t>ÄLVSBYN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26818-2019</t>
        </is>
      </c>
      <c r="B79" s="1" t="n">
        <v>43607</v>
      </c>
      <c r="C79" s="1" t="n">
        <v>45795</v>
      </c>
      <c r="D79" t="inlineStr">
        <is>
          <t>NORRBOTTENS LÄN</t>
        </is>
      </c>
      <c r="E79" t="inlineStr">
        <is>
          <t>ÄLVSBYN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27233-2019</t>
        </is>
      </c>
      <c r="B80" s="1" t="n">
        <v>43614</v>
      </c>
      <c r="C80" s="1" t="n">
        <v>45795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34165-2019</t>
        </is>
      </c>
      <c r="B81" s="1" t="n">
        <v>43655</v>
      </c>
      <c r="C81" s="1" t="n">
        <v>45795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36781-2019</t>
        </is>
      </c>
      <c r="B82" s="1" t="n">
        <v>43672</v>
      </c>
      <c r="C82" s="1" t="n">
        <v>45795</v>
      </c>
      <c r="D82" t="inlineStr">
        <is>
          <t>NORRBOTTENS LÄN</t>
        </is>
      </c>
      <c r="E82" t="inlineStr">
        <is>
          <t>ÄLVSBYN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37311-2019</t>
        </is>
      </c>
      <c r="B83" s="1" t="n">
        <v>43677</v>
      </c>
      <c r="C83" s="1" t="n">
        <v>45795</v>
      </c>
      <c r="D83" t="inlineStr">
        <is>
          <t>NORRBOTTENS LÄN</t>
        </is>
      </c>
      <c r="E83" t="inlineStr">
        <is>
          <t>ÄLVSBYN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37313-2019</t>
        </is>
      </c>
      <c r="B84" s="1" t="n">
        <v>43677</v>
      </c>
      <c r="C84" s="1" t="n">
        <v>45795</v>
      </c>
      <c r="D84" t="inlineStr">
        <is>
          <t>NORRBOTTENS LÄN</t>
        </is>
      </c>
      <c r="E84" t="inlineStr">
        <is>
          <t>ÄLVSBYN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39333-2019</t>
        </is>
      </c>
      <c r="B85" s="1" t="n">
        <v>43690</v>
      </c>
      <c r="C85" s="1" t="n">
        <v>45795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39670-2019</t>
        </is>
      </c>
      <c r="B86" s="1" t="n">
        <v>43691</v>
      </c>
      <c r="C86" s="1" t="n">
        <v>45795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42887-2019</t>
        </is>
      </c>
      <c r="B87" s="1" t="n">
        <v>43705</v>
      </c>
      <c r="C87" s="1" t="n">
        <v>45795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45428-2019</t>
        </is>
      </c>
      <c r="B88" s="1" t="n">
        <v>43710</v>
      </c>
      <c r="C88" s="1" t="n">
        <v>45795</v>
      </c>
      <c r="D88" t="inlineStr">
        <is>
          <t>NORRBOTTENS LÄN</t>
        </is>
      </c>
      <c r="E88" t="inlineStr">
        <is>
          <t>ÄLVSBYN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45337-2019</t>
        </is>
      </c>
      <c r="B89" s="1" t="n">
        <v>43710</v>
      </c>
      <c r="C89" s="1" t="n">
        <v>45795</v>
      </c>
      <c r="D89" t="inlineStr">
        <is>
          <t>NORRBOTTENS LÄN</t>
        </is>
      </c>
      <c r="E89" t="inlineStr">
        <is>
          <t>ÄLVSBYN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44641-2019</t>
        </is>
      </c>
      <c r="B90" s="1" t="n">
        <v>43712</v>
      </c>
      <c r="C90" s="1" t="n">
        <v>45795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45130-2019</t>
        </is>
      </c>
      <c r="B91" s="1" t="n">
        <v>43713</v>
      </c>
      <c r="C91" s="1" t="n">
        <v>45795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45185-2019</t>
        </is>
      </c>
      <c r="B92" s="1" t="n">
        <v>43713</v>
      </c>
      <c r="C92" s="1" t="n">
        <v>45795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45184-2019</t>
        </is>
      </c>
      <c r="B93" s="1" t="n">
        <v>43713</v>
      </c>
      <c r="C93" s="1" t="n">
        <v>45795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46362-2019</t>
        </is>
      </c>
      <c r="B94" s="1" t="n">
        <v>43718</v>
      </c>
      <c r="C94" s="1" t="n">
        <v>45795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46363-2019</t>
        </is>
      </c>
      <c r="B95" s="1" t="n">
        <v>43718</v>
      </c>
      <c r="C95" s="1" t="n">
        <v>45795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47099-2019</t>
        </is>
      </c>
      <c r="B96" s="1" t="n">
        <v>43721</v>
      </c>
      <c r="C96" s="1" t="n">
        <v>45795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48608-2019</t>
        </is>
      </c>
      <c r="B97" s="1" t="n">
        <v>43727</v>
      </c>
      <c r="C97" s="1" t="n">
        <v>45795</v>
      </c>
      <c r="D97" t="inlineStr">
        <is>
          <t>NORRBOTTENS LÄN</t>
        </is>
      </c>
      <c r="E97" t="inlineStr">
        <is>
          <t>ÄLVSBYN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51067-2019</t>
        </is>
      </c>
      <c r="B98" s="1" t="n">
        <v>43739</v>
      </c>
      <c r="C98" s="1" t="n">
        <v>45795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53821-2019</t>
        </is>
      </c>
      <c r="B99" s="1" t="n">
        <v>43742</v>
      </c>
      <c r="C99" s="1" t="n">
        <v>45795</v>
      </c>
      <c r="D99" t="inlineStr">
        <is>
          <t>NORRBOTTENS LÄN</t>
        </is>
      </c>
      <c r="E99" t="inlineStr">
        <is>
          <t>ÄLVSBYN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54007-2019</t>
        </is>
      </c>
      <c r="B100" s="1" t="n">
        <v>43742</v>
      </c>
      <c r="C100" s="1" t="n">
        <v>45795</v>
      </c>
      <c r="D100" t="inlineStr">
        <is>
          <t>NORRBOTTENS LÄN</t>
        </is>
      </c>
      <c r="E100" t="inlineStr">
        <is>
          <t>ÄLVSBYN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53818-2019</t>
        </is>
      </c>
      <c r="B101" s="1" t="n">
        <v>43752</v>
      </c>
      <c r="C101" s="1" t="n">
        <v>45795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59343-2019</t>
        </is>
      </c>
      <c r="B102" s="1" t="n">
        <v>43770</v>
      </c>
      <c r="C102" s="1" t="n">
        <v>45795</v>
      </c>
      <c r="D102" t="inlineStr">
        <is>
          <t>NORRBOTTENS LÄN</t>
        </is>
      </c>
      <c r="E102" t="inlineStr">
        <is>
          <t>ÄLVSBYN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59263-2019</t>
        </is>
      </c>
      <c r="B103" s="1" t="n">
        <v>43773</v>
      </c>
      <c r="C103" s="1" t="n">
        <v>45795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61696-2019</t>
        </is>
      </c>
      <c r="B104" s="1" t="n">
        <v>43780</v>
      </c>
      <c r="C104" s="1" t="n">
        <v>45795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63602-2019</t>
        </is>
      </c>
      <c r="B105" s="1" t="n">
        <v>43789</v>
      </c>
      <c r="C105" s="1" t="n">
        <v>45795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65482-2019</t>
        </is>
      </c>
      <c r="B106" s="1" t="n">
        <v>43803</v>
      </c>
      <c r="C106" s="1" t="n">
        <v>45795</v>
      </c>
      <c r="D106" t="inlineStr">
        <is>
          <t>NORRBOTTENS LÄN</t>
        </is>
      </c>
      <c r="E106" t="inlineStr">
        <is>
          <t>ÄLVSBYN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66403-2019</t>
        </is>
      </c>
      <c r="B107" s="1" t="n">
        <v>43809</v>
      </c>
      <c r="C107" s="1" t="n">
        <v>45795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68991-2019</t>
        </is>
      </c>
      <c r="B108" s="1" t="n">
        <v>43818</v>
      </c>
      <c r="C108" s="1" t="n">
        <v>45795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68670-2019</t>
        </is>
      </c>
      <c r="B109" s="1" t="n">
        <v>43818</v>
      </c>
      <c r="C109" s="1" t="n">
        <v>45795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68498-2019</t>
        </is>
      </c>
      <c r="B110" s="1" t="n">
        <v>43818</v>
      </c>
      <c r="C110" s="1" t="n">
        <v>45795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1661-2020</t>
        </is>
      </c>
      <c r="B111" s="1" t="n">
        <v>43832</v>
      </c>
      <c r="C111" s="1" t="n">
        <v>45795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2133-2020</t>
        </is>
      </c>
      <c r="B112" s="1" t="n">
        <v>43839</v>
      </c>
      <c r="C112" s="1" t="n">
        <v>45795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2129-2020</t>
        </is>
      </c>
      <c r="B113" s="1" t="n">
        <v>43839</v>
      </c>
      <c r="C113" s="1" t="n">
        <v>45795</v>
      </c>
      <c r="D113" t="inlineStr">
        <is>
          <t>NORRBOTTENS LÄN</t>
        </is>
      </c>
      <c r="E113" t="inlineStr">
        <is>
          <t>ÄLVSBYN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7019-2020</t>
        </is>
      </c>
      <c r="B114" s="1" t="n">
        <v>43868</v>
      </c>
      <c r="C114" s="1" t="n">
        <v>45795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16705-2020</t>
        </is>
      </c>
      <c r="B115" s="1" t="n">
        <v>43908</v>
      </c>
      <c r="C115" s="1" t="n">
        <v>45795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17786-2020</t>
        </is>
      </c>
      <c r="B116" s="1" t="n">
        <v>43922</v>
      </c>
      <c r="C116" s="1" t="n">
        <v>45795</v>
      </c>
      <c r="D116" t="inlineStr">
        <is>
          <t>NORRBOTTENS LÄN</t>
        </is>
      </c>
      <c r="E116" t="inlineStr">
        <is>
          <t>ÄLVSBYN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18866-2020</t>
        </is>
      </c>
      <c r="B117" s="1" t="n">
        <v>43930</v>
      </c>
      <c r="C117" s="1" t="n">
        <v>45795</v>
      </c>
      <c r="D117" t="inlineStr">
        <is>
          <t>NORRBOTTENS LÄN</t>
        </is>
      </c>
      <c r="E117" t="inlineStr">
        <is>
          <t>ÄLVSBYN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22470-2020</t>
        </is>
      </c>
      <c r="B118" s="1" t="n">
        <v>43963</v>
      </c>
      <c r="C118" s="1" t="n">
        <v>45795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31241-2020</t>
        </is>
      </c>
      <c r="B119" s="1" t="n">
        <v>44012</v>
      </c>
      <c r="C119" s="1" t="n">
        <v>45795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35323-2020</t>
        </is>
      </c>
      <c r="B120" s="1" t="n">
        <v>44041</v>
      </c>
      <c r="C120" s="1" t="n">
        <v>45795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37955-2020</t>
        </is>
      </c>
      <c r="B121" s="1" t="n">
        <v>44057</v>
      </c>
      <c r="C121" s="1" t="n">
        <v>45795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44523-2020</t>
        </is>
      </c>
      <c r="B122" s="1" t="n">
        <v>44085</v>
      </c>
      <c r="C122" s="1" t="n">
        <v>45795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44685-2020</t>
        </is>
      </c>
      <c r="B123" s="1" t="n">
        <v>44085</v>
      </c>
      <c r="C123" s="1" t="n">
        <v>45795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44682-2020</t>
        </is>
      </c>
      <c r="B124" s="1" t="n">
        <v>44085</v>
      </c>
      <c r="C124" s="1" t="n">
        <v>45795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44716-2020</t>
        </is>
      </c>
      <c r="B125" s="1" t="n">
        <v>44085</v>
      </c>
      <c r="C125" s="1" t="n">
        <v>45795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44756-2020</t>
        </is>
      </c>
      <c r="B126" s="1" t="n">
        <v>44085</v>
      </c>
      <c r="C126" s="1" t="n">
        <v>45795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44758-2020</t>
        </is>
      </c>
      <c r="B127" s="1" t="n">
        <v>44085</v>
      </c>
      <c r="C127" s="1" t="n">
        <v>45795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45627-2020</t>
        </is>
      </c>
      <c r="B128" s="1" t="n">
        <v>44090</v>
      </c>
      <c r="C128" s="1" t="n">
        <v>45795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46299-2020</t>
        </is>
      </c>
      <c r="B129" s="1" t="n">
        <v>44092</v>
      </c>
      <c r="C129" s="1" t="n">
        <v>45795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49319-2020</t>
        </is>
      </c>
      <c r="B130" s="1" t="n">
        <v>44102</v>
      </c>
      <c r="C130" s="1" t="n">
        <v>45795</v>
      </c>
      <c r="D130" t="inlineStr">
        <is>
          <t>NORRBOTTENS LÄN</t>
        </is>
      </c>
      <c r="E130" t="inlineStr">
        <is>
          <t>ÄLVSBYN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49730-2020</t>
        </is>
      </c>
      <c r="B131" s="1" t="n">
        <v>44103</v>
      </c>
      <c r="C131" s="1" t="n">
        <v>45795</v>
      </c>
      <c r="D131" t="inlineStr">
        <is>
          <t>NORRBOTTENS LÄN</t>
        </is>
      </c>
      <c r="E131" t="inlineStr">
        <is>
          <t>ÄLVSBYN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48971-2020</t>
        </is>
      </c>
      <c r="B132" s="1" t="n">
        <v>44105</v>
      </c>
      <c r="C132" s="1" t="n">
        <v>45795</v>
      </c>
      <c r="D132" t="inlineStr">
        <is>
          <t>NORRBOTTENS LÄN</t>
        </is>
      </c>
      <c r="E132" t="inlineStr">
        <is>
          <t>ÄLVSBYN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54418-2020</t>
        </is>
      </c>
      <c r="B133" s="1" t="n">
        <v>44125</v>
      </c>
      <c r="C133" s="1" t="n">
        <v>45795</v>
      </c>
      <c r="D133" t="inlineStr">
        <is>
          <t>NORRBOTTENS LÄN</t>
        </is>
      </c>
      <c r="E133" t="inlineStr">
        <is>
          <t>ÄLVSBYN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54412-2020</t>
        </is>
      </c>
      <c r="B134" s="1" t="n">
        <v>44125</v>
      </c>
      <c r="C134" s="1" t="n">
        <v>45795</v>
      </c>
      <c r="D134" t="inlineStr">
        <is>
          <t>NORRBOTTENS LÄN</t>
        </is>
      </c>
      <c r="E134" t="inlineStr">
        <is>
          <t>ÄLVSBYN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55873-2020</t>
        </is>
      </c>
      <c r="B135" s="1" t="n">
        <v>44131</v>
      </c>
      <c r="C135" s="1" t="n">
        <v>45795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59153-2020</t>
        </is>
      </c>
      <c r="B136" s="1" t="n">
        <v>44147</v>
      </c>
      <c r="C136" s="1" t="n">
        <v>45795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59464-2020</t>
        </is>
      </c>
      <c r="B137" s="1" t="n">
        <v>44148</v>
      </c>
      <c r="C137" s="1" t="n">
        <v>45795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66296-2020</t>
        </is>
      </c>
      <c r="B138" s="1" t="n">
        <v>44174</v>
      </c>
      <c r="C138" s="1" t="n">
        <v>45795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5455-2021</t>
        </is>
      </c>
      <c r="B139" s="1" t="n">
        <v>44229</v>
      </c>
      <c r="C139" s="1" t="n">
        <v>45795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5410-2021</t>
        </is>
      </c>
      <c r="B140" s="1" t="n">
        <v>44229</v>
      </c>
      <c r="C140" s="1" t="n">
        <v>45795</v>
      </c>
      <c r="D140" t="inlineStr">
        <is>
          <t>NORRBOTTENS LÄN</t>
        </is>
      </c>
      <c r="E140" t="inlineStr">
        <is>
          <t>ÄLVSBYN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8847-2021</t>
        </is>
      </c>
      <c r="B141" s="1" t="n">
        <v>44246</v>
      </c>
      <c r="C141" s="1" t="n">
        <v>45795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12950-2021</t>
        </is>
      </c>
      <c r="B142" s="1" t="n">
        <v>44271</v>
      </c>
      <c r="C142" s="1" t="n">
        <v>45795</v>
      </c>
      <c r="D142" t="inlineStr">
        <is>
          <t>NORRBOTTENS LÄN</t>
        </is>
      </c>
      <c r="E142" t="inlineStr">
        <is>
          <t>ÄLVSBYN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14866-2021</t>
        </is>
      </c>
      <c r="B143" s="1" t="n">
        <v>44280</v>
      </c>
      <c r="C143" s="1" t="n">
        <v>45795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14863-2021</t>
        </is>
      </c>
      <c r="B144" s="1" t="n">
        <v>44280</v>
      </c>
      <c r="C144" s="1" t="n">
        <v>45795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14864-2021</t>
        </is>
      </c>
      <c r="B145" s="1" t="n">
        <v>44280</v>
      </c>
      <c r="C145" s="1" t="n">
        <v>45795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17784-2021</t>
        </is>
      </c>
      <c r="B146" s="1" t="n">
        <v>44300</v>
      </c>
      <c r="C146" s="1" t="n">
        <v>45795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19294-2021</t>
        </is>
      </c>
      <c r="B147" s="1" t="n">
        <v>44308</v>
      </c>
      <c r="C147" s="1" t="n">
        <v>45795</v>
      </c>
      <c r="D147" t="inlineStr">
        <is>
          <t>NORRBOTTENS LÄN</t>
        </is>
      </c>
      <c r="E147" t="inlineStr">
        <is>
          <t>ÄLVSBYN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19270-2021</t>
        </is>
      </c>
      <c r="B148" s="1" t="n">
        <v>44308</v>
      </c>
      <c r="C148" s="1" t="n">
        <v>45795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23063-2021</t>
        </is>
      </c>
      <c r="B149" s="1" t="n">
        <v>44329</v>
      </c>
      <c r="C149" s="1" t="n">
        <v>45795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24990-2021</t>
        </is>
      </c>
      <c r="B150" s="1" t="n">
        <v>44341</v>
      </c>
      <c r="C150" s="1" t="n">
        <v>45795</v>
      </c>
      <c r="D150" t="inlineStr">
        <is>
          <t>NORRBOTTENS LÄN</t>
        </is>
      </c>
      <c r="E150" t="inlineStr">
        <is>
          <t>ÄLVSBYN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25360-2021</t>
        </is>
      </c>
      <c r="B151" s="1" t="n">
        <v>44342</v>
      </c>
      <c r="C151" s="1" t="n">
        <v>45795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33823-2021</t>
        </is>
      </c>
      <c r="B152" s="1" t="n">
        <v>44378</v>
      </c>
      <c r="C152" s="1" t="n">
        <v>45795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41386-2021</t>
        </is>
      </c>
      <c r="B153" s="1" t="n">
        <v>44424</v>
      </c>
      <c r="C153" s="1" t="n">
        <v>45795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43005-2021</t>
        </is>
      </c>
      <c r="B154" s="1" t="n">
        <v>44431</v>
      </c>
      <c r="C154" s="1" t="n">
        <v>45795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45603-2021</t>
        </is>
      </c>
      <c r="B155" s="1" t="n">
        <v>44440</v>
      </c>
      <c r="C155" s="1" t="n">
        <v>45795</v>
      </c>
      <c r="D155" t="inlineStr">
        <is>
          <t>NORRBOTTENS LÄN</t>
        </is>
      </c>
      <c r="E155" t="inlineStr">
        <is>
          <t>ÄLVSBYN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46881-2021</t>
        </is>
      </c>
      <c r="B156" s="1" t="n">
        <v>44446</v>
      </c>
      <c r="C156" s="1" t="n">
        <v>45795</v>
      </c>
      <c r="D156" t="inlineStr">
        <is>
          <t>NORRBOTTENS LÄN</t>
        </is>
      </c>
      <c r="E156" t="inlineStr">
        <is>
          <t>ÄLVSBYN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47046-2021</t>
        </is>
      </c>
      <c r="B157" s="1" t="n">
        <v>44446</v>
      </c>
      <c r="C157" s="1" t="n">
        <v>45795</v>
      </c>
      <c r="D157" t="inlineStr">
        <is>
          <t>NORRBOTTENS LÄN</t>
        </is>
      </c>
      <c r="E157" t="inlineStr">
        <is>
          <t>ÄLVSBYN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47695-2021</t>
        </is>
      </c>
      <c r="B158" s="1" t="n">
        <v>44448</v>
      </c>
      <c r="C158" s="1" t="n">
        <v>45795</v>
      </c>
      <c r="D158" t="inlineStr">
        <is>
          <t>NORRBOTTENS LÄN</t>
        </is>
      </c>
      <c r="E158" t="inlineStr">
        <is>
          <t>ÄLVSBYN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48103-2021</t>
        </is>
      </c>
      <c r="B159" s="1" t="n">
        <v>44449</v>
      </c>
      <c r="C159" s="1" t="n">
        <v>45795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49773-2021</t>
        </is>
      </c>
      <c r="B160" s="1" t="n">
        <v>44455</v>
      </c>
      <c r="C160" s="1" t="n">
        <v>45795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49843-2021</t>
        </is>
      </c>
      <c r="B161" s="1" t="n">
        <v>44455</v>
      </c>
      <c r="C161" s="1" t="n">
        <v>45795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50917-2021</t>
        </is>
      </c>
      <c r="B162" s="1" t="n">
        <v>44460</v>
      </c>
      <c r="C162" s="1" t="n">
        <v>45795</v>
      </c>
      <c r="D162" t="inlineStr">
        <is>
          <t>NORRBOTTENS LÄN</t>
        </is>
      </c>
      <c r="E162" t="inlineStr">
        <is>
          <t>ÄLVSBYN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50746-2021</t>
        </is>
      </c>
      <c r="B163" s="1" t="n">
        <v>44460</v>
      </c>
      <c r="C163" s="1" t="n">
        <v>45795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50924-2021</t>
        </is>
      </c>
      <c r="B164" s="1" t="n">
        <v>44460</v>
      </c>
      <c r="C164" s="1" t="n">
        <v>45795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50744-2021</t>
        </is>
      </c>
      <c r="B165" s="1" t="n">
        <v>44460</v>
      </c>
      <c r="C165" s="1" t="n">
        <v>45795</v>
      </c>
      <c r="D165" t="inlineStr">
        <is>
          <t>NORRBOTTENS LÄN</t>
        </is>
      </c>
      <c r="E165" t="inlineStr">
        <is>
          <t>ÄLVSBYN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51540-2021</t>
        </is>
      </c>
      <c r="B166" s="1" t="n">
        <v>44462</v>
      </c>
      <c r="C166" s="1" t="n">
        <v>45795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51829-2021</t>
        </is>
      </c>
      <c r="B167" s="1" t="n">
        <v>44462</v>
      </c>
      <c r="C167" s="1" t="n">
        <v>45795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51825-2021</t>
        </is>
      </c>
      <c r="B168" s="1" t="n">
        <v>44462</v>
      </c>
      <c r="C168" s="1" t="n">
        <v>45795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51912-2021</t>
        </is>
      </c>
      <c r="B169" s="1" t="n">
        <v>44462</v>
      </c>
      <c r="C169" s="1" t="n">
        <v>45795</v>
      </c>
      <c r="D169" t="inlineStr">
        <is>
          <t>NORRBOTTENS LÄN</t>
        </is>
      </c>
      <c r="E169" t="inlineStr">
        <is>
          <t>ÄLVSBYN</t>
        </is>
      </c>
      <c r="G169" t="n">
        <v>26.5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51993-2021</t>
        </is>
      </c>
      <c r="B170" s="1" t="n">
        <v>44463</v>
      </c>
      <c r="C170" s="1" t="n">
        <v>45795</v>
      </c>
      <c r="D170" t="inlineStr">
        <is>
          <t>NORRBOTTENS LÄN</t>
        </is>
      </c>
      <c r="E170" t="inlineStr">
        <is>
          <t>ÄLVSBYN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51998-2021</t>
        </is>
      </c>
      <c r="B171" s="1" t="n">
        <v>44463</v>
      </c>
      <c r="C171" s="1" t="n">
        <v>45795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52253-2021</t>
        </is>
      </c>
      <c r="B172" s="1" t="n">
        <v>44463</v>
      </c>
      <c r="C172" s="1" t="n">
        <v>45795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52716-2021</t>
        </is>
      </c>
      <c r="B173" s="1" t="n">
        <v>44466</v>
      </c>
      <c r="C173" s="1" t="n">
        <v>45795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54804-2021</t>
        </is>
      </c>
      <c r="B174" s="1" t="n">
        <v>44473</v>
      </c>
      <c r="C174" s="1" t="n">
        <v>45795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54803-2021</t>
        </is>
      </c>
      <c r="B175" s="1" t="n">
        <v>44474</v>
      </c>
      <c r="C175" s="1" t="n">
        <v>45795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55775-2021</t>
        </is>
      </c>
      <c r="B176" s="1" t="n">
        <v>44476</v>
      </c>
      <c r="C176" s="1" t="n">
        <v>45795</v>
      </c>
      <c r="D176" t="inlineStr">
        <is>
          <t>NORRBOTTENS LÄN</t>
        </is>
      </c>
      <c r="E176" t="inlineStr">
        <is>
          <t>ÄLVSBYN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57816-2021</t>
        </is>
      </c>
      <c r="B177" s="1" t="n">
        <v>44484</v>
      </c>
      <c r="C177" s="1" t="n">
        <v>45795</v>
      </c>
      <c r="D177" t="inlineStr">
        <is>
          <t>NORRBOTTENS LÄN</t>
        </is>
      </c>
      <c r="E177" t="inlineStr">
        <is>
          <t>ÄLVSBYN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58532-2021</t>
        </is>
      </c>
      <c r="B178" s="1" t="n">
        <v>44488</v>
      </c>
      <c r="C178" s="1" t="n">
        <v>45795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59483-2021</t>
        </is>
      </c>
      <c r="B179" s="1" t="n">
        <v>44491</v>
      </c>
      <c r="C179" s="1" t="n">
        <v>45795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59487-2021</t>
        </is>
      </c>
      <c r="B180" s="1" t="n">
        <v>44491</v>
      </c>
      <c r="C180" s="1" t="n">
        <v>45795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59553-2021</t>
        </is>
      </c>
      <c r="B181" s="1" t="n">
        <v>44491</v>
      </c>
      <c r="C181" s="1" t="n">
        <v>45795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59742-2021</t>
        </is>
      </c>
      <c r="B182" s="1" t="n">
        <v>44494</v>
      </c>
      <c r="C182" s="1" t="n">
        <v>45795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60030-2021</t>
        </is>
      </c>
      <c r="B183" s="1" t="n">
        <v>44494</v>
      </c>
      <c r="C183" s="1" t="n">
        <v>45795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65410-2021</t>
        </is>
      </c>
      <c r="B184" s="1" t="n">
        <v>44515</v>
      </c>
      <c r="C184" s="1" t="n">
        <v>45795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67103-2021</t>
        </is>
      </c>
      <c r="B185" s="1" t="n">
        <v>44522</v>
      </c>
      <c r="C185" s="1" t="n">
        <v>45795</v>
      </c>
      <c r="D185" t="inlineStr">
        <is>
          <t>NORRBOTTENS LÄN</t>
        </is>
      </c>
      <c r="E185" t="inlineStr">
        <is>
          <t>ÄLVSBYN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67106-2021</t>
        </is>
      </c>
      <c r="B186" s="1" t="n">
        <v>44522</v>
      </c>
      <c r="C186" s="1" t="n">
        <v>45795</v>
      </c>
      <c r="D186" t="inlineStr">
        <is>
          <t>NORRBOTTENS LÄN</t>
        </is>
      </c>
      <c r="E186" t="inlineStr">
        <is>
          <t>ÄLVSBYN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69314-2021</t>
        </is>
      </c>
      <c r="B187" s="1" t="n">
        <v>44531</v>
      </c>
      <c r="C187" s="1" t="n">
        <v>45795</v>
      </c>
      <c r="D187" t="inlineStr">
        <is>
          <t>NORRBOTTENS LÄN</t>
        </is>
      </c>
      <c r="E187" t="inlineStr">
        <is>
          <t>ÄLVSBYN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71925-2021</t>
        </is>
      </c>
      <c r="B188" s="1" t="n">
        <v>44543</v>
      </c>
      <c r="C188" s="1" t="n">
        <v>45795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71923-2021</t>
        </is>
      </c>
      <c r="B189" s="1" t="n">
        <v>44543</v>
      </c>
      <c r="C189" s="1" t="n">
        <v>45795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71939-2021</t>
        </is>
      </c>
      <c r="B190" s="1" t="n">
        <v>44543</v>
      </c>
      <c r="C190" s="1" t="n">
        <v>45795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72951-2021</t>
        </is>
      </c>
      <c r="B191" s="1" t="n">
        <v>44547</v>
      </c>
      <c r="C191" s="1" t="n">
        <v>45795</v>
      </c>
      <c r="D191" t="inlineStr">
        <is>
          <t>NORRBOTTENS LÄN</t>
        </is>
      </c>
      <c r="E191" t="inlineStr">
        <is>
          <t>ÄLVSBYN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73589-2021</t>
        </is>
      </c>
      <c r="B192" s="1" t="n">
        <v>44552</v>
      </c>
      <c r="C192" s="1" t="n">
        <v>45795</v>
      </c>
      <c r="D192" t="inlineStr">
        <is>
          <t>NORRBOTTENS LÄN</t>
        </is>
      </c>
      <c r="E192" t="inlineStr">
        <is>
          <t>ÄLVSBYN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73648-2021</t>
        </is>
      </c>
      <c r="B193" s="1" t="n">
        <v>44552</v>
      </c>
      <c r="C193" s="1" t="n">
        <v>45795</v>
      </c>
      <c r="D193" t="inlineStr">
        <is>
          <t>NORRBOTTENS LÄN</t>
        </is>
      </c>
      <c r="E193" t="inlineStr">
        <is>
          <t>ÄLVSBYN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45795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2751-2022</t>
        </is>
      </c>
      <c r="B195" s="1" t="n">
        <v>44580</v>
      </c>
      <c r="C195" s="1" t="n">
        <v>45795</v>
      </c>
      <c r="D195" t="inlineStr">
        <is>
          <t>NORRBOTTENS LÄN</t>
        </is>
      </c>
      <c r="E195" t="inlineStr">
        <is>
          <t>ÄLVSBYN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6028-2022</t>
        </is>
      </c>
      <c r="B196" s="1" t="n">
        <v>44599</v>
      </c>
      <c r="C196" s="1" t="n">
        <v>45795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27.9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6820-2022</t>
        </is>
      </c>
      <c r="B197" s="1" t="n">
        <v>44602</v>
      </c>
      <c r="C197" s="1" t="n">
        <v>45795</v>
      </c>
      <c r="D197" t="inlineStr">
        <is>
          <t>NORRBOTTENS LÄN</t>
        </is>
      </c>
      <c r="E197" t="inlineStr">
        <is>
          <t>ÄLVSBYN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6831-2022</t>
        </is>
      </c>
      <c r="B198" s="1" t="n">
        <v>44602</v>
      </c>
      <c r="C198" s="1" t="n">
        <v>45795</v>
      </c>
      <c r="D198" t="inlineStr">
        <is>
          <t>NORRBOTTENS LÄN</t>
        </is>
      </c>
      <c r="E198" t="inlineStr">
        <is>
          <t>ÄLVSBYN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9333-2022</t>
        </is>
      </c>
      <c r="B199" s="1" t="n">
        <v>44616</v>
      </c>
      <c r="C199" s="1" t="n">
        <v>45795</v>
      </c>
      <c r="D199" t="inlineStr">
        <is>
          <t>NORRBOTTENS LÄN</t>
        </is>
      </c>
      <c r="E199" t="inlineStr">
        <is>
          <t>ÄLVSBYN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9643-2022</t>
        </is>
      </c>
      <c r="B200" s="1" t="n">
        <v>44617</v>
      </c>
      <c r="C200" s="1" t="n">
        <v>45795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9623-2022</t>
        </is>
      </c>
      <c r="B201" s="1" t="n">
        <v>44617</v>
      </c>
      <c r="C201" s="1" t="n">
        <v>45795</v>
      </c>
      <c r="D201" t="inlineStr">
        <is>
          <t>NORRBOTTENS LÄN</t>
        </is>
      </c>
      <c r="E201" t="inlineStr">
        <is>
          <t>ÄLVSBYN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9631-2022</t>
        </is>
      </c>
      <c r="B202" s="1" t="n">
        <v>44617</v>
      </c>
      <c r="C202" s="1" t="n">
        <v>45795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9618-2022</t>
        </is>
      </c>
      <c r="B203" s="1" t="n">
        <v>44617</v>
      </c>
      <c r="C203" s="1" t="n">
        <v>45795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9634-2022</t>
        </is>
      </c>
      <c r="B204" s="1" t="n">
        <v>44617</v>
      </c>
      <c r="C204" s="1" t="n">
        <v>45795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10812-2022</t>
        </is>
      </c>
      <c r="B205" s="1" t="n">
        <v>44627</v>
      </c>
      <c r="C205" s="1" t="n">
        <v>45795</v>
      </c>
      <c r="D205" t="inlineStr">
        <is>
          <t>NORRBOTTENS LÄN</t>
        </is>
      </c>
      <c r="E205" t="inlineStr">
        <is>
          <t>ÄLVSBYN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</v>
      </c>
      <c r="C206" s="1" t="n">
        <v>45795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12156-2022</t>
        </is>
      </c>
      <c r="B207" s="1" t="n">
        <v>44636</v>
      </c>
      <c r="C207" s="1" t="n">
        <v>45795</v>
      </c>
      <c r="D207" t="inlineStr">
        <is>
          <t>NORRBOTTENS LÄN</t>
        </is>
      </c>
      <c r="E207" t="inlineStr">
        <is>
          <t>ÄLVSBYN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13456-2022</t>
        </is>
      </c>
      <c r="B208" s="1" t="n">
        <v>44645</v>
      </c>
      <c r="C208" s="1" t="n">
        <v>45795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15526-2022</t>
        </is>
      </c>
      <c r="B209" s="1" t="n">
        <v>44662</v>
      </c>
      <c r="C209" s="1" t="n">
        <v>45795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17094-2022</t>
        </is>
      </c>
      <c r="B210" s="1" t="n">
        <v>44677</v>
      </c>
      <c r="C210" s="1" t="n">
        <v>45795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18268-2022</t>
        </is>
      </c>
      <c r="B211" s="1" t="n">
        <v>44685</v>
      </c>
      <c r="C211" s="1" t="n">
        <v>45795</v>
      </c>
      <c r="D211" t="inlineStr">
        <is>
          <t>NORRBOTTENS LÄN</t>
        </is>
      </c>
      <c r="E211" t="inlineStr">
        <is>
          <t>ÄLVSBYN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18841-2022</t>
        </is>
      </c>
      <c r="B212" s="1" t="n">
        <v>44690</v>
      </c>
      <c r="C212" s="1" t="n">
        <v>45795</v>
      </c>
      <c r="D212" t="inlineStr">
        <is>
          <t>NORRBOTTENS LÄN</t>
        </is>
      </c>
      <c r="E212" t="inlineStr">
        <is>
          <t>ÄLVSBYN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19459-2022</t>
        </is>
      </c>
      <c r="B213" s="1" t="n">
        <v>44693</v>
      </c>
      <c r="C213" s="1" t="n">
        <v>45795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19746-2022</t>
        </is>
      </c>
      <c r="B214" s="1" t="n">
        <v>44694</v>
      </c>
      <c r="C214" s="1" t="n">
        <v>45795</v>
      </c>
      <c r="D214" t="inlineStr">
        <is>
          <t>NORRBOTTENS LÄN</t>
        </is>
      </c>
      <c r="E214" t="inlineStr">
        <is>
          <t>ÄLVSBYN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19747-2022</t>
        </is>
      </c>
      <c r="B215" s="1" t="n">
        <v>44694</v>
      </c>
      <c r="C215" s="1" t="n">
        <v>45795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20810-2022</t>
        </is>
      </c>
      <c r="B216" s="1" t="n">
        <v>44701</v>
      </c>
      <c r="C216" s="1" t="n">
        <v>45795</v>
      </c>
      <c r="D216" t="inlineStr">
        <is>
          <t>NORRBOTTENS LÄN</t>
        </is>
      </c>
      <c r="E216" t="inlineStr">
        <is>
          <t>ÄLVSBYN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21313-2022</t>
        </is>
      </c>
      <c r="B217" s="1" t="n">
        <v>44705</v>
      </c>
      <c r="C217" s="1" t="n">
        <v>45795</v>
      </c>
      <c r="D217" t="inlineStr">
        <is>
          <t>NORRBOTTENS LÄN</t>
        </is>
      </c>
      <c r="E217" t="inlineStr">
        <is>
          <t>ÄLVSBYN</t>
        </is>
      </c>
      <c r="G217" t="n">
        <v>21.5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22098-2022</t>
        </is>
      </c>
      <c r="B218" s="1" t="n">
        <v>44711</v>
      </c>
      <c r="C218" s="1" t="n">
        <v>45795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23536-2022</t>
        </is>
      </c>
      <c r="B219" s="1" t="n">
        <v>44721</v>
      </c>
      <c r="C219" s="1" t="n">
        <v>45795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23581-2022</t>
        </is>
      </c>
      <c r="B220" s="1" t="n">
        <v>44721</v>
      </c>
      <c r="C220" s="1" t="n">
        <v>45795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24665-2022</t>
        </is>
      </c>
      <c r="B221" s="1" t="n">
        <v>44727</v>
      </c>
      <c r="C221" s="1" t="n">
        <v>45795</v>
      </c>
      <c r="D221" t="inlineStr">
        <is>
          <t>NORRBOTTENS LÄN</t>
        </is>
      </c>
      <c r="E221" t="inlineStr">
        <is>
          <t>ÄLVSBYN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24760-2022</t>
        </is>
      </c>
      <c r="B222" s="1" t="n">
        <v>44728</v>
      </c>
      <c r="C222" s="1" t="n">
        <v>45795</v>
      </c>
      <c r="D222" t="inlineStr">
        <is>
          <t>NORRBOTTENS LÄN</t>
        </is>
      </c>
      <c r="E222" t="inlineStr">
        <is>
          <t>ÄLVSBYN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25455-2022</t>
        </is>
      </c>
      <c r="B223" s="1" t="n">
        <v>44732</v>
      </c>
      <c r="C223" s="1" t="n">
        <v>45795</v>
      </c>
      <c r="D223" t="inlineStr">
        <is>
          <t>NORRBOTTENS LÄN</t>
        </is>
      </c>
      <c r="E223" t="inlineStr">
        <is>
          <t>ÄLVSBYN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25449-2022</t>
        </is>
      </c>
      <c r="B224" s="1" t="n">
        <v>44732</v>
      </c>
      <c r="C224" s="1" t="n">
        <v>45795</v>
      </c>
      <c r="D224" t="inlineStr">
        <is>
          <t>NORRBOTTENS LÄN</t>
        </is>
      </c>
      <c r="E224" t="inlineStr">
        <is>
          <t>ÄLVSBYN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26125-2022</t>
        </is>
      </c>
      <c r="B225" s="1" t="n">
        <v>44735</v>
      </c>
      <c r="C225" s="1" t="n">
        <v>45795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26406-2022</t>
        </is>
      </c>
      <c r="B226" s="1" t="n">
        <v>44736</v>
      </c>
      <c r="C226" s="1" t="n">
        <v>45795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26608-2022</t>
        </is>
      </c>
      <c r="B227" s="1" t="n">
        <v>44739</v>
      </c>
      <c r="C227" s="1" t="n">
        <v>45795</v>
      </c>
      <c r="D227" t="inlineStr">
        <is>
          <t>NORRBOTTENS LÄN</t>
        </is>
      </c>
      <c r="E227" t="inlineStr">
        <is>
          <t>ÄLVSBYN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26610-2022</t>
        </is>
      </c>
      <c r="B228" s="1" t="n">
        <v>44739</v>
      </c>
      <c r="C228" s="1" t="n">
        <v>45795</v>
      </c>
      <c r="D228" t="inlineStr">
        <is>
          <t>NORRBOTTENS LÄN</t>
        </is>
      </c>
      <c r="E228" t="inlineStr">
        <is>
          <t>ÄLVSBYN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26741-2022</t>
        </is>
      </c>
      <c r="B229" s="1" t="n">
        <v>44739</v>
      </c>
      <c r="C229" s="1" t="n">
        <v>45795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26579-2022</t>
        </is>
      </c>
      <c r="B230" s="1" t="n">
        <v>44739</v>
      </c>
      <c r="C230" s="1" t="n">
        <v>45795</v>
      </c>
      <c r="D230" t="inlineStr">
        <is>
          <t>NORRBOTTENS LÄN</t>
        </is>
      </c>
      <c r="E230" t="inlineStr">
        <is>
          <t>ÄLVSBYN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26740-2022</t>
        </is>
      </c>
      <c r="B231" s="1" t="n">
        <v>44739</v>
      </c>
      <c r="C231" s="1" t="n">
        <v>45795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27202-2022</t>
        </is>
      </c>
      <c r="B232" s="1" t="n">
        <v>44741</v>
      </c>
      <c r="C232" s="1" t="n">
        <v>45795</v>
      </c>
      <c r="D232" t="inlineStr">
        <is>
          <t>NORRBOTTENS LÄN</t>
        </is>
      </c>
      <c r="E232" t="inlineStr">
        <is>
          <t>ÄLVSBYN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27277-2022</t>
        </is>
      </c>
      <c r="B233" s="1" t="n">
        <v>44742</v>
      </c>
      <c r="C233" s="1" t="n">
        <v>45795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28637-2022</t>
        </is>
      </c>
      <c r="B234" s="1" t="n">
        <v>44748</v>
      </c>
      <c r="C234" s="1" t="n">
        <v>45795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29190-2022</t>
        </is>
      </c>
      <c r="B235" s="1" t="n">
        <v>44750</v>
      </c>
      <c r="C235" s="1" t="n">
        <v>45795</v>
      </c>
      <c r="D235" t="inlineStr">
        <is>
          <t>NORRBOTTENS LÄN</t>
        </is>
      </c>
      <c r="E235" t="inlineStr">
        <is>
          <t>ÄLVSBYN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29176-2022</t>
        </is>
      </c>
      <c r="B236" s="1" t="n">
        <v>44750</v>
      </c>
      <c r="C236" s="1" t="n">
        <v>45795</v>
      </c>
      <c r="D236" t="inlineStr">
        <is>
          <t>NORRBOTTENS LÄN</t>
        </is>
      </c>
      <c r="E236" t="inlineStr">
        <is>
          <t>ÄLVSBYN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31322-2022</t>
        </is>
      </c>
      <c r="B237" s="1" t="n">
        <v>44774</v>
      </c>
      <c r="C237" s="1" t="n">
        <v>45795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32368-2022</t>
        </is>
      </c>
      <c r="B238" s="1" t="n">
        <v>44781</v>
      </c>
      <c r="C238" s="1" t="n">
        <v>45795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32975-2022</t>
        </is>
      </c>
      <c r="B239" s="1" t="n">
        <v>44785</v>
      </c>
      <c r="C239" s="1" t="n">
        <v>45795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32977-2022</t>
        </is>
      </c>
      <c r="B240" s="1" t="n">
        <v>44785</v>
      </c>
      <c r="C240" s="1" t="n">
        <v>45795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33407-2022</t>
        </is>
      </c>
      <c r="B241" s="1" t="n">
        <v>44788</v>
      </c>
      <c r="C241" s="1" t="n">
        <v>45795</v>
      </c>
      <c r="D241" t="inlineStr">
        <is>
          <t>NORRBOTTENS LÄN</t>
        </is>
      </c>
      <c r="E241" t="inlineStr">
        <is>
          <t>ÄLVSBYN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33848-2022</t>
        </is>
      </c>
      <c r="B242" s="1" t="n">
        <v>44790</v>
      </c>
      <c r="C242" s="1" t="n">
        <v>45795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34013-2022</t>
        </is>
      </c>
      <c r="B243" s="1" t="n">
        <v>44790</v>
      </c>
      <c r="C243" s="1" t="n">
        <v>45795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34012-2022</t>
        </is>
      </c>
      <c r="B244" s="1" t="n">
        <v>44791</v>
      </c>
      <c r="C244" s="1" t="n">
        <v>45795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34656-2022</t>
        </is>
      </c>
      <c r="B245" s="1" t="n">
        <v>44795</v>
      </c>
      <c r="C245" s="1" t="n">
        <v>45795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34609-2022</t>
        </is>
      </c>
      <c r="B246" s="1" t="n">
        <v>44795</v>
      </c>
      <c r="C246" s="1" t="n">
        <v>45795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34863-2022</t>
        </is>
      </c>
      <c r="B247" s="1" t="n">
        <v>44795</v>
      </c>
      <c r="C247" s="1" t="n">
        <v>45795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35238-2022</t>
        </is>
      </c>
      <c r="B248" s="1" t="n">
        <v>44798</v>
      </c>
      <c r="C248" s="1" t="n">
        <v>45795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35239-2022</t>
        </is>
      </c>
      <c r="B249" s="1" t="n">
        <v>44798</v>
      </c>
      <c r="C249" s="1" t="n">
        <v>45795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37731-2022</t>
        </is>
      </c>
      <c r="B250" s="1" t="n">
        <v>44810</v>
      </c>
      <c r="C250" s="1" t="n">
        <v>45795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38506-2022</t>
        </is>
      </c>
      <c r="B251" s="1" t="n">
        <v>44813</v>
      </c>
      <c r="C251" s="1" t="n">
        <v>45795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38490-2022</t>
        </is>
      </c>
      <c r="B252" s="1" t="n">
        <v>44813</v>
      </c>
      <c r="C252" s="1" t="n">
        <v>45795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39444-2022</t>
        </is>
      </c>
      <c r="B253" s="1" t="n">
        <v>44818</v>
      </c>
      <c r="C253" s="1" t="n">
        <v>45795</v>
      </c>
      <c r="D253" t="inlineStr">
        <is>
          <t>NORRBOTTENS LÄN</t>
        </is>
      </c>
      <c r="E253" t="inlineStr">
        <is>
          <t>ÄLVSBYN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39914-2022</t>
        </is>
      </c>
      <c r="B254" s="1" t="n">
        <v>44819</v>
      </c>
      <c r="C254" s="1" t="n">
        <v>45795</v>
      </c>
      <c r="D254" t="inlineStr">
        <is>
          <t>NORRBOTTENS LÄN</t>
        </is>
      </c>
      <c r="E254" t="inlineStr">
        <is>
          <t>ÄLVSBYN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40691-2022</t>
        </is>
      </c>
      <c r="B255" s="1" t="n">
        <v>44820</v>
      </c>
      <c r="C255" s="1" t="n">
        <v>45795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40560-2022</t>
        </is>
      </c>
      <c r="B256" s="1" t="n">
        <v>44823</v>
      </c>
      <c r="C256" s="1" t="n">
        <v>45795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40525-2022</t>
        </is>
      </c>
      <c r="B257" s="1" t="n">
        <v>44823</v>
      </c>
      <c r="C257" s="1" t="n">
        <v>45795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40781-2022</t>
        </is>
      </c>
      <c r="B258" s="1" t="n">
        <v>44824</v>
      </c>
      <c r="C258" s="1" t="n">
        <v>45795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41159-2022</t>
        </is>
      </c>
      <c r="B259" s="1" t="n">
        <v>44825</v>
      </c>
      <c r="C259" s="1" t="n">
        <v>45795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42805-2022</t>
        </is>
      </c>
      <c r="B260" s="1" t="n">
        <v>44832</v>
      </c>
      <c r="C260" s="1" t="n">
        <v>45795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43579-2022</t>
        </is>
      </c>
      <c r="B261" s="1" t="n">
        <v>44837</v>
      </c>
      <c r="C261" s="1" t="n">
        <v>45795</v>
      </c>
      <c r="D261" t="inlineStr">
        <is>
          <t>NORRBOTTENS LÄN</t>
        </is>
      </c>
      <c r="E261" t="inlineStr">
        <is>
          <t>ÄLVSBYN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45707-2022</t>
        </is>
      </c>
      <c r="B262" s="1" t="n">
        <v>44846</v>
      </c>
      <c r="C262" s="1" t="n">
        <v>45795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46308-2022</t>
        </is>
      </c>
      <c r="B263" s="1" t="n">
        <v>44847</v>
      </c>
      <c r="C263" s="1" t="n">
        <v>45795</v>
      </c>
      <c r="D263" t="inlineStr">
        <is>
          <t>NORRBOTTENS LÄN</t>
        </is>
      </c>
      <c r="E263" t="inlineStr">
        <is>
          <t>ÄLVSBYN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46307-2022</t>
        </is>
      </c>
      <c r="B264" s="1" t="n">
        <v>44847</v>
      </c>
      <c r="C264" s="1" t="n">
        <v>45795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46980-2022</t>
        </is>
      </c>
      <c r="B265" s="1" t="n">
        <v>44851</v>
      </c>
      <c r="C265" s="1" t="n">
        <v>45795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47121-2022</t>
        </is>
      </c>
      <c r="B266" s="1" t="n">
        <v>44851</v>
      </c>
      <c r="C266" s="1" t="n">
        <v>45795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46979-2022</t>
        </is>
      </c>
      <c r="B267" s="1" t="n">
        <v>44852</v>
      </c>
      <c r="C267" s="1" t="n">
        <v>45795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47427-2022</t>
        </is>
      </c>
      <c r="B268" s="1" t="n">
        <v>44853</v>
      </c>
      <c r="C268" s="1" t="n">
        <v>45795</v>
      </c>
      <c r="D268" t="inlineStr">
        <is>
          <t>NORRBOTTENS LÄN</t>
        </is>
      </c>
      <c r="E268" t="inlineStr">
        <is>
          <t>ÄLVSBYN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47417-2022</t>
        </is>
      </c>
      <c r="B269" s="1" t="n">
        <v>44853</v>
      </c>
      <c r="C269" s="1" t="n">
        <v>45795</v>
      </c>
      <c r="D269" t="inlineStr">
        <is>
          <t>NORRBOTTENS LÄN</t>
        </is>
      </c>
      <c r="E269" t="inlineStr">
        <is>
          <t>ÄLVSBYN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48742-2022</t>
        </is>
      </c>
      <c r="B270" s="1" t="n">
        <v>44855</v>
      </c>
      <c r="C270" s="1" t="n">
        <v>45795</v>
      </c>
      <c r="D270" t="inlineStr">
        <is>
          <t>NORRBOTTENS LÄN</t>
        </is>
      </c>
      <c r="E270" t="inlineStr">
        <is>
          <t>ÄLVSBYN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48532-2022</t>
        </is>
      </c>
      <c r="B271" s="1" t="n">
        <v>44859</v>
      </c>
      <c r="C271" s="1" t="n">
        <v>45795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49441-2022</t>
        </is>
      </c>
      <c r="B272" s="1" t="n">
        <v>44861</v>
      </c>
      <c r="C272" s="1" t="n">
        <v>45795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49767-2022</t>
        </is>
      </c>
      <c r="B273" s="1" t="n">
        <v>44862</v>
      </c>
      <c r="C273" s="1" t="n">
        <v>45795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50634-2022</t>
        </is>
      </c>
      <c r="B274" s="1" t="n">
        <v>44866</v>
      </c>
      <c r="C274" s="1" t="n">
        <v>45795</v>
      </c>
      <c r="D274" t="inlineStr">
        <is>
          <t>NORRBOTTENS LÄN</t>
        </is>
      </c>
      <c r="E274" t="inlineStr">
        <is>
          <t>ÄLVSBYN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50631-2022</t>
        </is>
      </c>
      <c r="B275" s="1" t="n">
        <v>44866</v>
      </c>
      <c r="C275" s="1" t="n">
        <v>45795</v>
      </c>
      <c r="D275" t="inlineStr">
        <is>
          <t>NORRBOTTENS LÄN</t>
        </is>
      </c>
      <c r="E275" t="inlineStr">
        <is>
          <t>ÄLVSBYN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51063-2022</t>
        </is>
      </c>
      <c r="B276" s="1" t="n">
        <v>44868</v>
      </c>
      <c r="C276" s="1" t="n">
        <v>45795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51981-2022</t>
        </is>
      </c>
      <c r="B277" s="1" t="n">
        <v>44872</v>
      </c>
      <c r="C277" s="1" t="n">
        <v>45795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52075-2022</t>
        </is>
      </c>
      <c r="B278" s="1" t="n">
        <v>44873</v>
      </c>
      <c r="C278" s="1" t="n">
        <v>45795</v>
      </c>
      <c r="D278" t="inlineStr">
        <is>
          <t>NORRBOTTENS LÄN</t>
        </is>
      </c>
      <c r="E278" t="inlineStr">
        <is>
          <t>ÄLVSBYN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52087-2022</t>
        </is>
      </c>
      <c r="B279" s="1" t="n">
        <v>44873</v>
      </c>
      <c r="C279" s="1" t="n">
        <v>45795</v>
      </c>
      <c r="D279" t="inlineStr">
        <is>
          <t>NORRBOTTENS LÄN</t>
        </is>
      </c>
      <c r="E279" t="inlineStr">
        <is>
          <t>ÄLVSBYN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52327-2022</t>
        </is>
      </c>
      <c r="B280" s="1" t="n">
        <v>44873</v>
      </c>
      <c r="C280" s="1" t="n">
        <v>45795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53037-2022</t>
        </is>
      </c>
      <c r="B281" s="1" t="n">
        <v>44876</v>
      </c>
      <c r="C281" s="1" t="n">
        <v>45795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57233-2022</t>
        </is>
      </c>
      <c r="B282" s="1" t="n">
        <v>44895</v>
      </c>
      <c r="C282" s="1" t="n">
        <v>45795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57214-2022</t>
        </is>
      </c>
      <c r="B283" s="1" t="n">
        <v>44895</v>
      </c>
      <c r="C283" s="1" t="n">
        <v>45795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58908-2022</t>
        </is>
      </c>
      <c r="B284" s="1" t="n">
        <v>44896</v>
      </c>
      <c r="C284" s="1" t="n">
        <v>45795</v>
      </c>
      <c r="D284" t="inlineStr">
        <is>
          <t>NORRBOTTENS LÄN</t>
        </is>
      </c>
      <c r="E284" t="inlineStr">
        <is>
          <t>ÄLVSBYN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57789-2022</t>
        </is>
      </c>
      <c r="B285" s="1" t="n">
        <v>44897</v>
      </c>
      <c r="C285" s="1" t="n">
        <v>45795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57785-2022</t>
        </is>
      </c>
      <c r="B286" s="1" t="n">
        <v>44897</v>
      </c>
      <c r="C286" s="1" t="n">
        <v>45795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60351-2022</t>
        </is>
      </c>
      <c r="B287" s="1" t="n">
        <v>44910</v>
      </c>
      <c r="C287" s="1" t="n">
        <v>45795</v>
      </c>
      <c r="D287" t="inlineStr">
        <is>
          <t>NORRBOTTENS LÄN</t>
        </is>
      </c>
      <c r="E287" t="inlineStr">
        <is>
          <t>ÄLVSBYN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60403-2022</t>
        </is>
      </c>
      <c r="B288" s="1" t="n">
        <v>44910</v>
      </c>
      <c r="C288" s="1" t="n">
        <v>45795</v>
      </c>
      <c r="D288" t="inlineStr">
        <is>
          <t>NORRBOTTENS LÄN</t>
        </is>
      </c>
      <c r="E288" t="inlineStr">
        <is>
          <t>ÄLVSBYN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61650-2022</t>
        </is>
      </c>
      <c r="B289" s="1" t="n">
        <v>44916</v>
      </c>
      <c r="C289" s="1" t="n">
        <v>45795</v>
      </c>
      <c r="D289" t="inlineStr">
        <is>
          <t>NORRBOTTENS LÄN</t>
        </is>
      </c>
      <c r="E289" t="inlineStr">
        <is>
          <t>ÄLVSBYN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22-2023</t>
        </is>
      </c>
      <c r="B290" s="1" t="n">
        <v>44918</v>
      </c>
      <c r="C290" s="1" t="n">
        <v>45795</v>
      </c>
      <c r="D290" t="inlineStr">
        <is>
          <t>NORRBOTTENS LÄN</t>
        </is>
      </c>
      <c r="E290" t="inlineStr">
        <is>
          <t>ÄLVSBYN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43-2023</t>
        </is>
      </c>
      <c r="B291" s="1" t="n">
        <v>44918</v>
      </c>
      <c r="C291" s="1" t="n">
        <v>45795</v>
      </c>
      <c r="D291" t="inlineStr">
        <is>
          <t>NORRBOTTENS LÄN</t>
        </is>
      </c>
      <c r="E291" t="inlineStr">
        <is>
          <t>ÄLVSBYN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45795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2290-2023</t>
        </is>
      </c>
      <c r="B293" s="1" t="n">
        <v>44942</v>
      </c>
      <c r="C293" s="1" t="n">
        <v>45795</v>
      </c>
      <c r="D293" t="inlineStr">
        <is>
          <t>NORRBOTTENS LÄN</t>
        </is>
      </c>
      <c r="E293" t="inlineStr">
        <is>
          <t>ÄLVSBYN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2595-2023</t>
        </is>
      </c>
      <c r="B294" s="1" t="n">
        <v>44943</v>
      </c>
      <c r="C294" s="1" t="n">
        <v>45795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2678-2023</t>
        </is>
      </c>
      <c r="B295" s="1" t="n">
        <v>44944</v>
      </c>
      <c r="C295" s="1" t="n">
        <v>45795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3500-2023</t>
        </is>
      </c>
      <c r="B296" s="1" t="n">
        <v>44949</v>
      </c>
      <c r="C296" s="1" t="n">
        <v>45795</v>
      </c>
      <c r="D296" t="inlineStr">
        <is>
          <t>NORRBOTTENS LÄN</t>
        </is>
      </c>
      <c r="E296" t="inlineStr">
        <is>
          <t>ÄLVSBYN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3497-2023</t>
        </is>
      </c>
      <c r="B297" s="1" t="n">
        <v>44949</v>
      </c>
      <c r="C297" s="1" t="n">
        <v>45795</v>
      </c>
      <c r="D297" t="inlineStr">
        <is>
          <t>NORRBOTTENS LÄN</t>
        </is>
      </c>
      <c r="E297" t="inlineStr">
        <is>
          <t>ÄLVSBYN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4013-2023</t>
        </is>
      </c>
      <c r="B298" s="1" t="n">
        <v>44949</v>
      </c>
      <c r="C298" s="1" t="n">
        <v>45795</v>
      </c>
      <c r="D298" t="inlineStr">
        <is>
          <t>NORRBOTTENS LÄN</t>
        </is>
      </c>
      <c r="E298" t="inlineStr">
        <is>
          <t>ÄLVSBYN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4128-2023</t>
        </is>
      </c>
      <c r="B299" s="1" t="n">
        <v>44952</v>
      </c>
      <c r="C299" s="1" t="n">
        <v>45795</v>
      </c>
      <c r="D299" t="inlineStr">
        <is>
          <t>NORRBOTTENS LÄN</t>
        </is>
      </c>
      <c r="E299" t="inlineStr">
        <is>
          <t>ÄLVSBYN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4127-2023</t>
        </is>
      </c>
      <c r="B300" s="1" t="n">
        <v>44952</v>
      </c>
      <c r="C300" s="1" t="n">
        <v>45795</v>
      </c>
      <c r="D300" t="inlineStr">
        <is>
          <t>NORRBOTTENS LÄN</t>
        </is>
      </c>
      <c r="E300" t="inlineStr">
        <is>
          <t>ÄLVSBYN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5659-2023</t>
        </is>
      </c>
      <c r="B301" s="1" t="n">
        <v>44958</v>
      </c>
      <c r="C301" s="1" t="n">
        <v>45795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6004-2023</t>
        </is>
      </c>
      <c r="B302" s="1" t="n">
        <v>44959</v>
      </c>
      <c r="C302" s="1" t="n">
        <v>45795</v>
      </c>
      <c r="D302" t="inlineStr">
        <is>
          <t>NORRBOTTENS LÄN</t>
        </is>
      </c>
      <c r="E302" t="inlineStr">
        <is>
          <t>ÄLVSBYN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5635-2023</t>
        </is>
      </c>
      <c r="B303" s="1" t="n">
        <v>44960</v>
      </c>
      <c r="C303" s="1" t="n">
        <v>45795</v>
      </c>
      <c r="D303" t="inlineStr">
        <is>
          <t>NORRBOTTENS LÄN</t>
        </is>
      </c>
      <c r="E303" t="inlineStr">
        <is>
          <t>ÄLVSBYN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5610-2023</t>
        </is>
      </c>
      <c r="B304" s="1" t="n">
        <v>44960</v>
      </c>
      <c r="C304" s="1" t="n">
        <v>45795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5603-2023</t>
        </is>
      </c>
      <c r="B305" s="1" t="n">
        <v>44960</v>
      </c>
      <c r="C305" s="1" t="n">
        <v>45795</v>
      </c>
      <c r="D305" t="inlineStr">
        <is>
          <t>NORRBOTTENS LÄN</t>
        </is>
      </c>
      <c r="E305" t="inlineStr">
        <is>
          <t>ÄLVSBYN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6769-2023</t>
        </is>
      </c>
      <c r="B306" s="1" t="n">
        <v>44966</v>
      </c>
      <c r="C306" s="1" t="n">
        <v>45795</v>
      </c>
      <c r="D306" t="inlineStr">
        <is>
          <t>NORRBOTTENS LÄN</t>
        </is>
      </c>
      <c r="E306" t="inlineStr">
        <is>
          <t>ÄLVSBYN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6825-2023</t>
        </is>
      </c>
      <c r="B307" s="1" t="n">
        <v>44967</v>
      </c>
      <c r="C307" s="1" t="n">
        <v>45795</v>
      </c>
      <c r="D307" t="inlineStr">
        <is>
          <t>NORRBOTTENS LÄN</t>
        </is>
      </c>
      <c r="E307" t="inlineStr">
        <is>
          <t>ÄLVSBYN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8739-2023</t>
        </is>
      </c>
      <c r="B308" s="1" t="n">
        <v>44973</v>
      </c>
      <c r="C308" s="1" t="n">
        <v>45795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8723-2023</t>
        </is>
      </c>
      <c r="B309" s="1" t="n">
        <v>44973</v>
      </c>
      <c r="C309" s="1" t="n">
        <v>45795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8502-2023</t>
        </is>
      </c>
      <c r="B310" s="1" t="n">
        <v>44977</v>
      </c>
      <c r="C310" s="1" t="n">
        <v>45795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10066-2023</t>
        </is>
      </c>
      <c r="B311" s="1" t="n">
        <v>44985</v>
      </c>
      <c r="C311" s="1" t="n">
        <v>45795</v>
      </c>
      <c r="D311" t="inlineStr">
        <is>
          <t>NORRBOTTENS LÄN</t>
        </is>
      </c>
      <c r="E311" t="inlineStr">
        <is>
          <t>ÄLVSBYN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10712-2023</t>
        </is>
      </c>
      <c r="B312" s="1" t="n">
        <v>44988</v>
      </c>
      <c r="C312" s="1" t="n">
        <v>45795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10705-2023</t>
        </is>
      </c>
      <c r="B313" s="1" t="n">
        <v>44988</v>
      </c>
      <c r="C313" s="1" t="n">
        <v>45795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11293-2023</t>
        </is>
      </c>
      <c r="B314" s="1" t="n">
        <v>44992</v>
      </c>
      <c r="C314" s="1" t="n">
        <v>45795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11835-2023</t>
        </is>
      </c>
      <c r="B315" s="1" t="n">
        <v>44994</v>
      </c>
      <c r="C315" s="1" t="n">
        <v>45795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13173-2023</t>
        </is>
      </c>
      <c r="B316" s="1" t="n">
        <v>45002</v>
      </c>
      <c r="C316" s="1" t="n">
        <v>45795</v>
      </c>
      <c r="D316" t="inlineStr">
        <is>
          <t>NORRBOTTENS LÄN</t>
        </is>
      </c>
      <c r="E316" t="inlineStr">
        <is>
          <t>ÄLVSBYN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13204-2023</t>
        </is>
      </c>
      <c r="B317" s="1" t="n">
        <v>45002</v>
      </c>
      <c r="C317" s="1" t="n">
        <v>45795</v>
      </c>
      <c r="D317" t="inlineStr">
        <is>
          <t>NORRBOTTENS LÄN</t>
        </is>
      </c>
      <c r="E317" t="inlineStr">
        <is>
          <t>ÄLVSBYN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14436-2023</t>
        </is>
      </c>
      <c r="B318" s="1" t="n">
        <v>45012</v>
      </c>
      <c r="C318" s="1" t="n">
        <v>45795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15076-2023</t>
        </is>
      </c>
      <c r="B319" s="1" t="n">
        <v>45016</v>
      </c>
      <c r="C319" s="1" t="n">
        <v>45795</v>
      </c>
      <c r="D319" t="inlineStr">
        <is>
          <t>NORRBOTTENS LÄN</t>
        </is>
      </c>
      <c r="E319" t="inlineStr">
        <is>
          <t>ÄLVSBYN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15251-2023</t>
        </is>
      </c>
      <c r="B320" s="1" t="n">
        <v>45016</v>
      </c>
      <c r="C320" s="1" t="n">
        <v>45795</v>
      </c>
      <c r="D320" t="inlineStr">
        <is>
          <t>NORRBOTTENS LÄN</t>
        </is>
      </c>
      <c r="E320" t="inlineStr">
        <is>
          <t>ÄLVSBYN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15255-2023</t>
        </is>
      </c>
      <c r="B321" s="1" t="n">
        <v>45016</v>
      </c>
      <c r="C321" s="1" t="n">
        <v>45795</v>
      </c>
      <c r="D321" t="inlineStr">
        <is>
          <t>NORRBOTTENS LÄN</t>
        </is>
      </c>
      <c r="E321" t="inlineStr">
        <is>
          <t>ÄLVSBYN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15250-2023</t>
        </is>
      </c>
      <c r="B322" s="1" t="n">
        <v>45016</v>
      </c>
      <c r="C322" s="1" t="n">
        <v>45795</v>
      </c>
      <c r="D322" t="inlineStr">
        <is>
          <t>NORRBOTTENS LÄN</t>
        </is>
      </c>
      <c r="E322" t="inlineStr">
        <is>
          <t>ÄLVSBYN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15619-2023</t>
        </is>
      </c>
      <c r="B323" s="1" t="n">
        <v>45021</v>
      </c>
      <c r="C323" s="1" t="n">
        <v>45795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16914-2023</t>
        </is>
      </c>
      <c r="B324" s="1" t="n">
        <v>45028</v>
      </c>
      <c r="C324" s="1" t="n">
        <v>45795</v>
      </c>
      <c r="D324" t="inlineStr">
        <is>
          <t>NORRBOTTENS LÄN</t>
        </is>
      </c>
      <c r="E324" t="inlineStr">
        <is>
          <t>ÄLVSBYN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16991-2023</t>
        </is>
      </c>
      <c r="B325" s="1" t="n">
        <v>45033</v>
      </c>
      <c r="C325" s="1" t="n">
        <v>45795</v>
      </c>
      <c r="D325" t="inlineStr">
        <is>
          <t>NORRBOTTENS LÄN</t>
        </is>
      </c>
      <c r="E325" t="inlineStr">
        <is>
          <t>ÄLVSBYN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17445-2023</t>
        </is>
      </c>
      <c r="B326" s="1" t="n">
        <v>45035</v>
      </c>
      <c r="C326" s="1" t="n">
        <v>45795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19142-2023</t>
        </is>
      </c>
      <c r="B327" s="1" t="n">
        <v>45044</v>
      </c>
      <c r="C327" s="1" t="n">
        <v>45795</v>
      </c>
      <c r="D327" t="inlineStr">
        <is>
          <t>NORRBOTTENS LÄN</t>
        </is>
      </c>
      <c r="E327" t="inlineStr">
        <is>
          <t>ÄLVSBYN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21677-2023</t>
        </is>
      </c>
      <c r="B328" s="1" t="n">
        <v>45064</v>
      </c>
      <c r="C328" s="1" t="n">
        <v>45795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21895-2023</t>
        </is>
      </c>
      <c r="B329" s="1" t="n">
        <v>45068</v>
      </c>
      <c r="C329" s="1" t="n">
        <v>45795</v>
      </c>
      <c r="D329" t="inlineStr">
        <is>
          <t>NORRBOTTENS LÄN</t>
        </is>
      </c>
      <c r="E329" t="inlineStr">
        <is>
          <t>ÄLVSBYN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22335-2023</t>
        </is>
      </c>
      <c r="B330" s="1" t="n">
        <v>45070</v>
      </c>
      <c r="C330" s="1" t="n">
        <v>45795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23278-2023</t>
        </is>
      </c>
      <c r="B331" s="1" t="n">
        <v>45076</v>
      </c>
      <c r="C331" s="1" t="n">
        <v>45795</v>
      </c>
      <c r="D331" t="inlineStr">
        <is>
          <t>NORRBOTTENS LÄN</t>
        </is>
      </c>
      <c r="E331" t="inlineStr">
        <is>
          <t>ÄLVSBYN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23280-2023</t>
        </is>
      </c>
      <c r="B332" s="1" t="n">
        <v>45076</v>
      </c>
      <c r="C332" s="1" t="n">
        <v>45795</v>
      </c>
      <c r="D332" t="inlineStr">
        <is>
          <t>NORRBOTTENS LÄN</t>
        </is>
      </c>
      <c r="E332" t="inlineStr">
        <is>
          <t>ÄLVSBYN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23178-2023</t>
        </is>
      </c>
      <c r="B333" s="1" t="n">
        <v>45075</v>
      </c>
      <c r="C333" s="1" t="n">
        <v>45795</v>
      </c>
      <c r="D333" t="inlineStr">
        <is>
          <t>NORRBOTTENS LÄN</t>
        </is>
      </c>
      <c r="E333" t="inlineStr">
        <is>
          <t>ÄLVSBYN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23279-2023</t>
        </is>
      </c>
      <c r="B334" s="1" t="n">
        <v>45076</v>
      </c>
      <c r="C334" s="1" t="n">
        <v>45795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23522-2023</t>
        </is>
      </c>
      <c r="B335" s="1" t="n">
        <v>45077</v>
      </c>
      <c r="C335" s="1" t="n">
        <v>45795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25158-2023</t>
        </is>
      </c>
      <c r="B336" s="1" t="n">
        <v>45078</v>
      </c>
      <c r="C336" s="1" t="n">
        <v>45795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25102-2023</t>
        </is>
      </c>
      <c r="B337" s="1" t="n">
        <v>45078</v>
      </c>
      <c r="C337" s="1" t="n">
        <v>45795</v>
      </c>
      <c r="D337" t="inlineStr">
        <is>
          <t>NORRBOTTENS LÄN</t>
        </is>
      </c>
      <c r="E337" t="inlineStr">
        <is>
          <t>ÄLVSBYN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24922-2023</t>
        </is>
      </c>
      <c r="B338" s="1" t="n">
        <v>45078</v>
      </c>
      <c r="C338" s="1" t="n">
        <v>45795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24125-2023</t>
        </is>
      </c>
      <c r="B339" s="1" t="n">
        <v>45079</v>
      </c>
      <c r="C339" s="1" t="n">
        <v>45795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24274-2023</t>
        </is>
      </c>
      <c r="B340" s="1" t="n">
        <v>45079</v>
      </c>
      <c r="C340" s="1" t="n">
        <v>45795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24737-2023</t>
        </is>
      </c>
      <c r="B341" s="1" t="n">
        <v>45084</v>
      </c>
      <c r="C341" s="1" t="n">
        <v>45795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25212-2023</t>
        </is>
      </c>
      <c r="B342" s="1" t="n">
        <v>45086</v>
      </c>
      <c r="C342" s="1" t="n">
        <v>45795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25222-2023</t>
        </is>
      </c>
      <c r="B343" s="1" t="n">
        <v>45086</v>
      </c>
      <c r="C343" s="1" t="n">
        <v>45795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25137-2023</t>
        </is>
      </c>
      <c r="B344" s="1" t="n">
        <v>45086</v>
      </c>
      <c r="C344" s="1" t="n">
        <v>45795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25663-2023</t>
        </is>
      </c>
      <c r="B345" s="1" t="n">
        <v>45090</v>
      </c>
      <c r="C345" s="1" t="n">
        <v>45795</v>
      </c>
      <c r="D345" t="inlineStr">
        <is>
          <t>NORRBOTTENS LÄN</t>
        </is>
      </c>
      <c r="E345" t="inlineStr">
        <is>
          <t>ÄLVSBYN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25691-2023</t>
        </is>
      </c>
      <c r="B346" s="1" t="n">
        <v>45090</v>
      </c>
      <c r="C346" s="1" t="n">
        <v>45795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25662-2023</t>
        </is>
      </c>
      <c r="B347" s="1" t="n">
        <v>45090</v>
      </c>
      <c r="C347" s="1" t="n">
        <v>45795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25890-2023</t>
        </is>
      </c>
      <c r="B348" s="1" t="n">
        <v>45090</v>
      </c>
      <c r="C348" s="1" t="n">
        <v>45795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25879-2023</t>
        </is>
      </c>
      <c r="B349" s="1" t="n">
        <v>45090</v>
      </c>
      <c r="C349" s="1" t="n">
        <v>45795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26240-2023</t>
        </is>
      </c>
      <c r="B350" s="1" t="n">
        <v>45091</v>
      </c>
      <c r="C350" s="1" t="n">
        <v>45795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26164-2023</t>
        </is>
      </c>
      <c r="B351" s="1" t="n">
        <v>45091</v>
      </c>
      <c r="C351" s="1" t="n">
        <v>45795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29638-2023</t>
        </is>
      </c>
      <c r="B352" s="1" t="n">
        <v>45098</v>
      </c>
      <c r="C352" s="1" t="n">
        <v>45795</v>
      </c>
      <c r="D352" t="inlineStr">
        <is>
          <t>NORRBOTTENS LÄN</t>
        </is>
      </c>
      <c r="E352" t="inlineStr">
        <is>
          <t>ÄLVSBYN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28094-2023</t>
        </is>
      </c>
      <c r="B353" s="1" t="n">
        <v>45099</v>
      </c>
      <c r="C353" s="1" t="n">
        <v>45795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28354-2023</t>
        </is>
      </c>
      <c r="B354" s="1" t="n">
        <v>45100</v>
      </c>
      <c r="C354" s="1" t="n">
        <v>45795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28569-2023</t>
        </is>
      </c>
      <c r="B355" s="1" t="n">
        <v>45103</v>
      </c>
      <c r="C355" s="1" t="n">
        <v>45795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28757-2023</t>
        </is>
      </c>
      <c r="B356" s="1" t="n">
        <v>45103</v>
      </c>
      <c r="C356" s="1" t="n">
        <v>45795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28755-2023</t>
        </is>
      </c>
      <c r="B357" s="1" t="n">
        <v>45104</v>
      </c>
      <c r="C357" s="1" t="n">
        <v>45795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28583-2023</t>
        </is>
      </c>
      <c r="B358" s="1" t="n">
        <v>45103</v>
      </c>
      <c r="C358" s="1" t="n">
        <v>45795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28756-2023</t>
        </is>
      </c>
      <c r="B359" s="1" t="n">
        <v>45104</v>
      </c>
      <c r="C359" s="1" t="n">
        <v>45795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29655-2023</t>
        </is>
      </c>
      <c r="B360" s="1" t="n">
        <v>45107</v>
      </c>
      <c r="C360" s="1" t="n">
        <v>45795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29654-2023</t>
        </is>
      </c>
      <c r="B361" s="1" t="n">
        <v>45107</v>
      </c>
      <c r="C361" s="1" t="n">
        <v>45795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29649-2023</t>
        </is>
      </c>
      <c r="B362" s="1" t="n">
        <v>45107</v>
      </c>
      <c r="C362" s="1" t="n">
        <v>45795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29653-2023</t>
        </is>
      </c>
      <c r="B363" s="1" t="n">
        <v>45107</v>
      </c>
      <c r="C363" s="1" t="n">
        <v>45795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29652-2023</t>
        </is>
      </c>
      <c r="B364" s="1" t="n">
        <v>45107</v>
      </c>
      <c r="C364" s="1" t="n">
        <v>45795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29882-2023</t>
        </is>
      </c>
      <c r="B365" s="1" t="n">
        <v>45107</v>
      </c>
      <c r="C365" s="1" t="n">
        <v>45795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29886-2023</t>
        </is>
      </c>
      <c r="B366" s="1" t="n">
        <v>45107</v>
      </c>
      <c r="C366" s="1" t="n">
        <v>45795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31056-2023</t>
        </is>
      </c>
      <c r="B367" s="1" t="n">
        <v>45113</v>
      </c>
      <c r="C367" s="1" t="n">
        <v>45795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31051-2023</t>
        </is>
      </c>
      <c r="B368" s="1" t="n">
        <v>45113</v>
      </c>
      <c r="C368" s="1" t="n">
        <v>45795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31216-2023</t>
        </is>
      </c>
      <c r="B369" s="1" t="n">
        <v>45114</v>
      </c>
      <c r="C369" s="1" t="n">
        <v>45795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31220-2023</t>
        </is>
      </c>
      <c r="B370" s="1" t="n">
        <v>45114</v>
      </c>
      <c r="C370" s="1" t="n">
        <v>45795</v>
      </c>
      <c r="D370" t="inlineStr">
        <is>
          <t>NORRBOTTENS LÄN</t>
        </is>
      </c>
      <c r="E370" t="inlineStr">
        <is>
          <t>ÄLVSBYN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31219-2023</t>
        </is>
      </c>
      <c r="B371" s="1" t="n">
        <v>45114</v>
      </c>
      <c r="C371" s="1" t="n">
        <v>45795</v>
      </c>
      <c r="D371" t="inlineStr">
        <is>
          <t>NORRBOTTENS LÄN</t>
        </is>
      </c>
      <c r="E371" t="inlineStr">
        <is>
          <t>ÄLVSBYN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32445-2023</t>
        </is>
      </c>
      <c r="B372" s="1" t="n">
        <v>45120</v>
      </c>
      <c r="C372" s="1" t="n">
        <v>45795</v>
      </c>
      <c r="D372" t="inlineStr">
        <is>
          <t>NORRBOTTENS LÄN</t>
        </is>
      </c>
      <c r="E372" t="inlineStr">
        <is>
          <t>ÄLVSBYN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32963-2023</t>
        </is>
      </c>
      <c r="B373" s="1" t="n">
        <v>45125</v>
      </c>
      <c r="C373" s="1" t="n">
        <v>45795</v>
      </c>
      <c r="D373" t="inlineStr">
        <is>
          <t>NORRBOTTENS LÄN</t>
        </is>
      </c>
      <c r="E373" t="inlineStr">
        <is>
          <t>ÄLVSBYN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32956-2023</t>
        </is>
      </c>
      <c r="B374" s="1" t="n">
        <v>45125</v>
      </c>
      <c r="C374" s="1" t="n">
        <v>45795</v>
      </c>
      <c r="D374" t="inlineStr">
        <is>
          <t>NORRBOTTENS LÄN</t>
        </is>
      </c>
      <c r="E374" t="inlineStr">
        <is>
          <t>ÄLVSBYN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32966-2023</t>
        </is>
      </c>
      <c r="B375" s="1" t="n">
        <v>45125</v>
      </c>
      <c r="C375" s="1" t="n">
        <v>45795</v>
      </c>
      <c r="D375" t="inlineStr">
        <is>
          <t>NORRBOTTENS LÄN</t>
        </is>
      </c>
      <c r="E375" t="inlineStr">
        <is>
          <t>ÄLVSBYN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35508-2023</t>
        </is>
      </c>
      <c r="B376" s="1" t="n">
        <v>45147</v>
      </c>
      <c r="C376" s="1" t="n">
        <v>45795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36499-2023</t>
        </is>
      </c>
      <c r="B377" s="1" t="n">
        <v>45153</v>
      </c>
      <c r="C377" s="1" t="n">
        <v>45795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36500-2023</t>
        </is>
      </c>
      <c r="B378" s="1" t="n">
        <v>45153</v>
      </c>
      <c r="C378" s="1" t="n">
        <v>45795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36485-2023</t>
        </is>
      </c>
      <c r="B379" s="1" t="n">
        <v>45152</v>
      </c>
      <c r="C379" s="1" t="n">
        <v>45795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36501-2023</t>
        </is>
      </c>
      <c r="B380" s="1" t="n">
        <v>45153</v>
      </c>
      <c r="C380" s="1" t="n">
        <v>45795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36820-2023</t>
        </is>
      </c>
      <c r="B381" s="1" t="n">
        <v>45154</v>
      </c>
      <c r="C381" s="1" t="n">
        <v>45795</v>
      </c>
      <c r="D381" t="inlineStr">
        <is>
          <t>NORRBOTTENS LÄN</t>
        </is>
      </c>
      <c r="E381" t="inlineStr">
        <is>
          <t>ÄLVSBYN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37720-2023</t>
        </is>
      </c>
      <c r="B382" s="1" t="n">
        <v>45159</v>
      </c>
      <c r="C382" s="1" t="n">
        <v>45795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38003-2023</t>
        </is>
      </c>
      <c r="B383" s="1" t="n">
        <v>45159</v>
      </c>
      <c r="C383" s="1" t="n">
        <v>45795</v>
      </c>
      <c r="D383" t="inlineStr">
        <is>
          <t>NORRBOTTENS LÄN</t>
        </is>
      </c>
      <c r="E383" t="inlineStr">
        <is>
          <t>ÄLVSBYN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37961-2023</t>
        </is>
      </c>
      <c r="B384" s="1" t="n">
        <v>45159</v>
      </c>
      <c r="C384" s="1" t="n">
        <v>45795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37984-2023</t>
        </is>
      </c>
      <c r="B385" s="1" t="n">
        <v>45159</v>
      </c>
      <c r="C385" s="1" t="n">
        <v>45795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37977-2023</t>
        </is>
      </c>
      <c r="B386" s="1" t="n">
        <v>45159</v>
      </c>
      <c r="C386" s="1" t="n">
        <v>45795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39005-2023</t>
        </is>
      </c>
      <c r="B387" s="1" t="n">
        <v>45162</v>
      </c>
      <c r="C387" s="1" t="n">
        <v>45795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39378-2023</t>
        </is>
      </c>
      <c r="B388" s="1" t="n">
        <v>45166</v>
      </c>
      <c r="C388" s="1" t="n">
        <v>45795</v>
      </c>
      <c r="D388" t="inlineStr">
        <is>
          <t>NORRBOTTENS LÄN</t>
        </is>
      </c>
      <c r="E388" t="inlineStr">
        <is>
          <t>ÄLVSBYN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39551-2023</t>
        </is>
      </c>
      <c r="B389" s="1" t="n">
        <v>45167</v>
      </c>
      <c r="C389" s="1" t="n">
        <v>45795</v>
      </c>
      <c r="D389" t="inlineStr">
        <is>
          <t>NORRBOTTENS LÄN</t>
        </is>
      </c>
      <c r="E389" t="inlineStr">
        <is>
          <t>ÄLVSBYN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41467-2023</t>
        </is>
      </c>
      <c r="B390" s="1" t="n">
        <v>45175</v>
      </c>
      <c r="C390" s="1" t="n">
        <v>45795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41813-2023</t>
        </is>
      </c>
      <c r="B391" s="1" t="n">
        <v>45176</v>
      </c>
      <c r="C391" s="1" t="n">
        <v>45795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42542-2023</t>
        </is>
      </c>
      <c r="B392" s="1" t="n">
        <v>45181</v>
      </c>
      <c r="C392" s="1" t="n">
        <v>45795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42553-2023</t>
        </is>
      </c>
      <c r="B393" s="1" t="n">
        <v>45181</v>
      </c>
      <c r="C393" s="1" t="n">
        <v>45795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43114-2023</t>
        </is>
      </c>
      <c r="B394" s="1" t="n">
        <v>45182</v>
      </c>
      <c r="C394" s="1" t="n">
        <v>45795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43118-2023</t>
        </is>
      </c>
      <c r="B395" s="1" t="n">
        <v>45183</v>
      </c>
      <c r="C395" s="1" t="n">
        <v>45795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43115-2023</t>
        </is>
      </c>
      <c r="B396" s="1" t="n">
        <v>45182</v>
      </c>
      <c r="C396" s="1" t="n">
        <v>45795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43116-2023</t>
        </is>
      </c>
      <c r="B397" s="1" t="n">
        <v>45183</v>
      </c>
      <c r="C397" s="1" t="n">
        <v>45795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43117-2023</t>
        </is>
      </c>
      <c r="B398" s="1" t="n">
        <v>45183</v>
      </c>
      <c r="C398" s="1" t="n">
        <v>45795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44964-2023</t>
        </is>
      </c>
      <c r="B399" s="1" t="n">
        <v>45190</v>
      </c>
      <c r="C399" s="1" t="n">
        <v>45795</v>
      </c>
      <c r="D399" t="inlineStr">
        <is>
          <t>NORRBOTTENS LÄN</t>
        </is>
      </c>
      <c r="E399" t="inlineStr">
        <is>
          <t>ÄLVSBYN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45136-2023</t>
        </is>
      </c>
      <c r="B400" s="1" t="n">
        <v>45191</v>
      </c>
      <c r="C400" s="1" t="n">
        <v>45795</v>
      </c>
      <c r="D400" t="inlineStr">
        <is>
          <t>NORRBOTTENS LÄN</t>
        </is>
      </c>
      <c r="E400" t="inlineStr">
        <is>
          <t>ÄLVSBYN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45135-2023</t>
        </is>
      </c>
      <c r="B401" s="1" t="n">
        <v>45191</v>
      </c>
      <c r="C401" s="1" t="n">
        <v>45795</v>
      </c>
      <c r="D401" t="inlineStr">
        <is>
          <t>NORRBOTTENS LÄN</t>
        </is>
      </c>
      <c r="E401" t="inlineStr">
        <is>
          <t>ÄLVSBYN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45424-2023</t>
        </is>
      </c>
      <c r="B402" s="1" t="n">
        <v>45194</v>
      </c>
      <c r="C402" s="1" t="n">
        <v>45795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46404-2023</t>
        </is>
      </c>
      <c r="B403" s="1" t="n">
        <v>45194</v>
      </c>
      <c r="C403" s="1" t="n">
        <v>45795</v>
      </c>
      <c r="D403" t="inlineStr">
        <is>
          <t>NORRBOTTENS LÄN</t>
        </is>
      </c>
      <c r="E403" t="inlineStr">
        <is>
          <t>ÄLVSBYN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45417-2023</t>
        </is>
      </c>
      <c r="B404" s="1" t="n">
        <v>45194</v>
      </c>
      <c r="C404" s="1" t="n">
        <v>45795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46406-2023</t>
        </is>
      </c>
      <c r="B405" s="1" t="n">
        <v>45194</v>
      </c>
      <c r="C405" s="1" t="n">
        <v>45795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47437-2023</t>
        </is>
      </c>
      <c r="B406" s="1" t="n">
        <v>45197</v>
      </c>
      <c r="C406" s="1" t="n">
        <v>45795</v>
      </c>
      <c r="D406" t="inlineStr">
        <is>
          <t>NORRBOTTENS LÄN</t>
        </is>
      </c>
      <c r="E406" t="inlineStr">
        <is>
          <t>ÄLVSBYN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47441-2023</t>
        </is>
      </c>
      <c r="B407" s="1" t="n">
        <v>45197</v>
      </c>
      <c r="C407" s="1" t="n">
        <v>45795</v>
      </c>
      <c r="D407" t="inlineStr">
        <is>
          <t>NORRBOTTENS LÄN</t>
        </is>
      </c>
      <c r="E407" t="inlineStr">
        <is>
          <t>ÄLVSBYN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48362-2023</t>
        </is>
      </c>
      <c r="B408" s="1" t="n">
        <v>45205</v>
      </c>
      <c r="C408" s="1" t="n">
        <v>45795</v>
      </c>
      <c r="D408" t="inlineStr">
        <is>
          <t>NORRBOTTENS LÄN</t>
        </is>
      </c>
      <c r="E408" t="inlineStr">
        <is>
          <t>ÄLVSBYN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49568-2023</t>
        </is>
      </c>
      <c r="B409" s="1" t="n">
        <v>45205</v>
      </c>
      <c r="C409" s="1" t="n">
        <v>45795</v>
      </c>
      <c r="D409" t="inlineStr">
        <is>
          <t>NORRBOTTENS LÄN</t>
        </is>
      </c>
      <c r="E409" t="inlineStr">
        <is>
          <t>ÄLVSBYN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49041-2023</t>
        </is>
      </c>
      <c r="B410" s="1" t="n">
        <v>45210</v>
      </c>
      <c r="C410" s="1" t="n">
        <v>45795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49402-2023</t>
        </is>
      </c>
      <c r="B411" s="1" t="n">
        <v>45211</v>
      </c>
      <c r="C411" s="1" t="n">
        <v>45795</v>
      </c>
      <c r="D411" t="inlineStr">
        <is>
          <t>NORRBOTTENS LÄN</t>
        </is>
      </c>
      <c r="E411" t="inlineStr">
        <is>
          <t>ÄLVSBYN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49632-2023</t>
        </is>
      </c>
      <c r="B412" s="1" t="n">
        <v>45212</v>
      </c>
      <c r="C412" s="1" t="n">
        <v>45795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50212-2023</t>
        </is>
      </c>
      <c r="B413" s="1" t="n">
        <v>45216</v>
      </c>
      <c r="C413" s="1" t="n">
        <v>45795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50478-2023</t>
        </is>
      </c>
      <c r="B414" s="1" t="n">
        <v>45217</v>
      </c>
      <c r="C414" s="1" t="n">
        <v>45795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50384-2023</t>
        </is>
      </c>
      <c r="B415" s="1" t="n">
        <v>45216</v>
      </c>
      <c r="C415" s="1" t="n">
        <v>45795</v>
      </c>
      <c r="D415" t="inlineStr">
        <is>
          <t>NORRBOTTENS LÄN</t>
        </is>
      </c>
      <c r="E415" t="inlineStr">
        <is>
          <t>ÄLVSBYN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50509-2023</t>
        </is>
      </c>
      <c r="B416" s="1" t="n">
        <v>45216</v>
      </c>
      <c r="C416" s="1" t="n">
        <v>45795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50481-2023</t>
        </is>
      </c>
      <c r="B417" s="1" t="n">
        <v>45216</v>
      </c>
      <c r="C417" s="1" t="n">
        <v>45795</v>
      </c>
      <c r="D417" t="inlineStr">
        <is>
          <t>NORRBOTTENS LÄN</t>
        </is>
      </c>
      <c r="E417" t="inlineStr">
        <is>
          <t>ÄLVSBYN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50479-2023</t>
        </is>
      </c>
      <c r="B418" s="1" t="n">
        <v>45216</v>
      </c>
      <c r="C418" s="1" t="n">
        <v>45795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50375-2023</t>
        </is>
      </c>
      <c r="B419" s="1" t="n">
        <v>45216</v>
      </c>
      <c r="C419" s="1" t="n">
        <v>45795</v>
      </c>
      <c r="D419" t="inlineStr">
        <is>
          <t>NORRBOTTENS LÄN</t>
        </is>
      </c>
      <c r="E419" t="inlineStr">
        <is>
          <t>ÄLVSBYN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50480-2023</t>
        </is>
      </c>
      <c r="B420" s="1" t="n">
        <v>45216</v>
      </c>
      <c r="C420" s="1" t="n">
        <v>45795</v>
      </c>
      <c r="D420" t="inlineStr">
        <is>
          <t>NORRBOTTENS LÄN</t>
        </is>
      </c>
      <c r="E420" t="inlineStr">
        <is>
          <t>ÄLVSBYN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50319-2023</t>
        </is>
      </c>
      <c r="B421" s="1" t="n">
        <v>45216</v>
      </c>
      <c r="C421" s="1" t="n">
        <v>45795</v>
      </c>
      <c r="D421" t="inlineStr">
        <is>
          <t>NORRBOTTENS LÄN</t>
        </is>
      </c>
      <c r="E421" t="inlineStr">
        <is>
          <t>ÄLVSBYN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51457-2023</t>
        </is>
      </c>
      <c r="B422" s="1" t="n">
        <v>45220</v>
      </c>
      <c r="C422" s="1" t="n">
        <v>45795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51456-2023</t>
        </is>
      </c>
      <c r="B423" s="1" t="n">
        <v>45220</v>
      </c>
      <c r="C423" s="1" t="n">
        <v>45795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51458-2023</t>
        </is>
      </c>
      <c r="B424" s="1" t="n">
        <v>45220</v>
      </c>
      <c r="C424" s="1" t="n">
        <v>45795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51793-2023</t>
        </is>
      </c>
      <c r="B425" s="1" t="n">
        <v>45223</v>
      </c>
      <c r="C425" s="1" t="n">
        <v>45795</v>
      </c>
      <c r="D425" t="inlineStr">
        <is>
          <t>NORRBOTTENS LÄN</t>
        </is>
      </c>
      <c r="E425" t="inlineStr">
        <is>
          <t>ÄLVSBYN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51794-2023</t>
        </is>
      </c>
      <c r="B426" s="1" t="n">
        <v>45223</v>
      </c>
      <c r="C426" s="1" t="n">
        <v>45795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52397-2023</t>
        </is>
      </c>
      <c r="B427" s="1" t="n">
        <v>45224</v>
      </c>
      <c r="C427" s="1" t="n">
        <v>45795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52409-2023</t>
        </is>
      </c>
      <c r="B428" s="1" t="n">
        <v>45225</v>
      </c>
      <c r="C428" s="1" t="n">
        <v>45795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52407-2023</t>
        </is>
      </c>
      <c r="B429" s="1" t="n">
        <v>45224</v>
      </c>
      <c r="C429" s="1" t="n">
        <v>45795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54317-2023</t>
        </is>
      </c>
      <c r="B430" s="1" t="n">
        <v>45232</v>
      </c>
      <c r="C430" s="1" t="n">
        <v>45795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54975-2023</t>
        </is>
      </c>
      <c r="B431" s="1" t="n">
        <v>45236</v>
      </c>
      <c r="C431" s="1" t="n">
        <v>45795</v>
      </c>
      <c r="D431" t="inlineStr">
        <is>
          <t>NORRBOTTENS LÄN</t>
        </is>
      </c>
      <c r="E431" t="inlineStr">
        <is>
          <t>ÄLVSBYN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57240-2023</t>
        </is>
      </c>
      <c r="B432" s="1" t="n">
        <v>45239</v>
      </c>
      <c r="C432" s="1" t="n">
        <v>45795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57255-2023</t>
        </is>
      </c>
      <c r="B433" s="1" t="n">
        <v>45239</v>
      </c>
      <c r="C433" s="1" t="n">
        <v>45795</v>
      </c>
      <c r="D433" t="inlineStr">
        <is>
          <t>NORRBOTTENS LÄN</t>
        </is>
      </c>
      <c r="E433" t="inlineStr">
        <is>
          <t>ÄLVSBYN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57288-2023</t>
        </is>
      </c>
      <c r="B434" s="1" t="n">
        <v>45239</v>
      </c>
      <c r="C434" s="1" t="n">
        <v>45795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56849-2023</t>
        </is>
      </c>
      <c r="B435" s="1" t="n">
        <v>45244</v>
      </c>
      <c r="C435" s="1" t="n">
        <v>45795</v>
      </c>
      <c r="D435" t="inlineStr">
        <is>
          <t>NORRBOTTENS LÄN</t>
        </is>
      </c>
      <c r="E435" t="inlineStr">
        <is>
          <t>ÄLVSBYN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57827-2023</t>
        </is>
      </c>
      <c r="B436" s="1" t="n">
        <v>45244</v>
      </c>
      <c r="C436" s="1" t="n">
        <v>45795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57834-2023</t>
        </is>
      </c>
      <c r="B437" s="1" t="n">
        <v>45244</v>
      </c>
      <c r="C437" s="1" t="n">
        <v>45795</v>
      </c>
      <c r="D437" t="inlineStr">
        <is>
          <t>NORRBOTTENS LÄN</t>
        </is>
      </c>
      <c r="E437" t="inlineStr">
        <is>
          <t>ÄLVSBYN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57100-2023</t>
        </is>
      </c>
      <c r="B438" s="1" t="n">
        <v>45245</v>
      </c>
      <c r="C438" s="1" t="n">
        <v>45795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58476-2023</t>
        </is>
      </c>
      <c r="B439" s="1" t="n">
        <v>45246</v>
      </c>
      <c r="C439" s="1" t="n">
        <v>45795</v>
      </c>
      <c r="D439" t="inlineStr">
        <is>
          <t>NORRBOTTENS LÄN</t>
        </is>
      </c>
      <c r="E439" t="inlineStr">
        <is>
          <t>ÄLVSBYN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58450-2023</t>
        </is>
      </c>
      <c r="B440" s="1" t="n">
        <v>45250</v>
      </c>
      <c r="C440" s="1" t="n">
        <v>45795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58448-2023</t>
        </is>
      </c>
      <c r="B441" s="1" t="n">
        <v>45250</v>
      </c>
      <c r="C441" s="1" t="n">
        <v>45795</v>
      </c>
      <c r="D441" t="inlineStr">
        <is>
          <t>NORRBOTTENS LÄN</t>
        </is>
      </c>
      <c r="E441" t="inlineStr">
        <is>
          <t>ÄLVSBYN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58447-2023</t>
        </is>
      </c>
      <c r="B442" s="1" t="n">
        <v>45250</v>
      </c>
      <c r="C442" s="1" t="n">
        <v>45795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58505-2023</t>
        </is>
      </c>
      <c r="B443" s="1" t="n">
        <v>45251</v>
      </c>
      <c r="C443" s="1" t="n">
        <v>45795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58515-2023</t>
        </is>
      </c>
      <c r="B444" s="1" t="n">
        <v>45251</v>
      </c>
      <c r="C444" s="1" t="n">
        <v>45795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58919-2023</t>
        </is>
      </c>
      <c r="B445" s="1" t="n">
        <v>45252</v>
      </c>
      <c r="C445" s="1" t="n">
        <v>45795</v>
      </c>
      <c r="D445" t="inlineStr">
        <is>
          <t>NORRBOTTENS LÄN</t>
        </is>
      </c>
      <c r="E445" t="inlineStr">
        <is>
          <t>ÄLVSBYN</t>
        </is>
      </c>
      <c r="G445" t="n">
        <v>25.1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59543-2023</t>
        </is>
      </c>
      <c r="B446" s="1" t="n">
        <v>45254</v>
      </c>
      <c r="C446" s="1" t="n">
        <v>45795</v>
      </c>
      <c r="D446" t="inlineStr">
        <is>
          <t>NORRBOTTENS LÄN</t>
        </is>
      </c>
      <c r="E446" t="inlineStr">
        <is>
          <t>ÄLVSBYN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60322-2023</t>
        </is>
      </c>
      <c r="B447" s="1" t="n">
        <v>45258</v>
      </c>
      <c r="C447" s="1" t="n">
        <v>45795</v>
      </c>
      <c r="D447" t="inlineStr">
        <is>
          <t>NORRBOTTENS LÄN</t>
        </is>
      </c>
      <c r="E447" t="inlineStr">
        <is>
          <t>ÄLVSBYN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60500-2023</t>
        </is>
      </c>
      <c r="B448" s="1" t="n">
        <v>45259</v>
      </c>
      <c r="C448" s="1" t="n">
        <v>45795</v>
      </c>
      <c r="D448" t="inlineStr">
        <is>
          <t>NORRBOTTENS LÄN</t>
        </is>
      </c>
      <c r="E448" t="inlineStr">
        <is>
          <t>ÄLVSBYN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61516-2023</t>
        </is>
      </c>
      <c r="B449" s="1" t="n">
        <v>45265</v>
      </c>
      <c r="C449" s="1" t="n">
        <v>45795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61520-2023</t>
        </is>
      </c>
      <c r="B450" s="1" t="n">
        <v>45265</v>
      </c>
      <c r="C450" s="1" t="n">
        <v>45795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38.9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61524-2023</t>
        </is>
      </c>
      <c r="B451" s="1" t="n">
        <v>45265</v>
      </c>
      <c r="C451" s="1" t="n">
        <v>45795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61517-2023</t>
        </is>
      </c>
      <c r="B452" s="1" t="n">
        <v>45265</v>
      </c>
      <c r="C452" s="1" t="n">
        <v>45795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61521-2023</t>
        </is>
      </c>
      <c r="B453" s="1" t="n">
        <v>45265</v>
      </c>
      <c r="C453" s="1" t="n">
        <v>45795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61518-2023</t>
        </is>
      </c>
      <c r="B454" s="1" t="n">
        <v>45265</v>
      </c>
      <c r="C454" s="1" t="n">
        <v>45795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61522-2023</t>
        </is>
      </c>
      <c r="B455" s="1" t="n">
        <v>45265</v>
      </c>
      <c r="C455" s="1" t="n">
        <v>45795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26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62068-2023</t>
        </is>
      </c>
      <c r="B456" s="1" t="n">
        <v>45266</v>
      </c>
      <c r="C456" s="1" t="n">
        <v>45795</v>
      </c>
      <c r="D456" t="inlineStr">
        <is>
          <t>NORRBOTTENS LÄN</t>
        </is>
      </c>
      <c r="E456" t="inlineStr">
        <is>
          <t>ÄLVSBYN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62409-2023</t>
        </is>
      </c>
      <c r="B457" s="1" t="n">
        <v>45266</v>
      </c>
      <c r="C457" s="1" t="n">
        <v>45795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62406-2023</t>
        </is>
      </c>
      <c r="B458" s="1" t="n">
        <v>45266</v>
      </c>
      <c r="C458" s="1" t="n">
        <v>45795</v>
      </c>
      <c r="D458" t="inlineStr">
        <is>
          <t>NORRBOTTENS LÄN</t>
        </is>
      </c>
      <c r="E458" t="inlineStr">
        <is>
          <t>ÄLVSBYN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62395-2023</t>
        </is>
      </c>
      <c r="B459" s="1" t="n">
        <v>45266</v>
      </c>
      <c r="C459" s="1" t="n">
        <v>45795</v>
      </c>
      <c r="D459" t="inlineStr">
        <is>
          <t>NORRBOTTENS LÄN</t>
        </is>
      </c>
      <c r="E459" t="inlineStr">
        <is>
          <t>ÄLVSBYN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62550-2023</t>
        </is>
      </c>
      <c r="B460" s="1" t="n">
        <v>45268</v>
      </c>
      <c r="C460" s="1" t="n">
        <v>45795</v>
      </c>
      <c r="D460" t="inlineStr">
        <is>
          <t>NORRBOTTENS LÄN</t>
        </is>
      </c>
      <c r="E460" t="inlineStr">
        <is>
          <t>ÄLVSBYN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62757-2023</t>
        </is>
      </c>
      <c r="B461" s="1" t="n">
        <v>45268</v>
      </c>
      <c r="C461" s="1" t="n">
        <v>45795</v>
      </c>
      <c r="D461" t="inlineStr">
        <is>
          <t>NORRBOTTENS LÄN</t>
        </is>
      </c>
      <c r="E461" t="inlineStr">
        <is>
          <t>ÄLVSBYN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62746-2023</t>
        </is>
      </c>
      <c r="B462" s="1" t="n">
        <v>45268</v>
      </c>
      <c r="C462" s="1" t="n">
        <v>45795</v>
      </c>
      <c r="D462" t="inlineStr">
        <is>
          <t>NORRBOTTENS LÄN</t>
        </is>
      </c>
      <c r="E462" t="inlineStr">
        <is>
          <t>ÄLVSBYN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62696-2023</t>
        </is>
      </c>
      <c r="B463" s="1" t="n">
        <v>45271</v>
      </c>
      <c r="C463" s="1" t="n">
        <v>45795</v>
      </c>
      <c r="D463" t="inlineStr">
        <is>
          <t>NORRBOTTENS LÄN</t>
        </is>
      </c>
      <c r="E463" t="inlineStr">
        <is>
          <t>ÄLVSBYN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62880-2023</t>
        </is>
      </c>
      <c r="B464" s="1" t="n">
        <v>45272</v>
      </c>
      <c r="C464" s="1" t="n">
        <v>45795</v>
      </c>
      <c r="D464" t="inlineStr">
        <is>
          <t>NORRBOTTENS LÄN</t>
        </is>
      </c>
      <c r="E464" t="inlineStr">
        <is>
          <t>ÄLVSBYN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63953-2023</t>
        </is>
      </c>
      <c r="B465" s="1" t="n">
        <v>45278</v>
      </c>
      <c r="C465" s="1" t="n">
        <v>45795</v>
      </c>
      <c r="D465" t="inlineStr">
        <is>
          <t>NORRBOTTENS LÄN</t>
        </is>
      </c>
      <c r="E465" t="inlineStr">
        <is>
          <t>ÄLVSBYN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63954-2023</t>
        </is>
      </c>
      <c r="B466" s="1" t="n">
        <v>45278</v>
      </c>
      <c r="C466" s="1" t="n">
        <v>45795</v>
      </c>
      <c r="D466" t="inlineStr">
        <is>
          <t>NORRBOTTENS LÄN</t>
        </is>
      </c>
      <c r="E466" t="inlineStr">
        <is>
          <t>ÄLVSBYN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63927-2023</t>
        </is>
      </c>
      <c r="B467" s="1" t="n">
        <v>45278</v>
      </c>
      <c r="C467" s="1" t="n">
        <v>45795</v>
      </c>
      <c r="D467" t="inlineStr">
        <is>
          <t>NORRBOTTENS LÄN</t>
        </is>
      </c>
      <c r="E467" t="inlineStr">
        <is>
          <t>ÄLVSBYN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64403-2023</t>
        </is>
      </c>
      <c r="B468" s="1" t="n">
        <v>45280</v>
      </c>
      <c r="C468" s="1" t="n">
        <v>45795</v>
      </c>
      <c r="D468" t="inlineStr">
        <is>
          <t>NORRBOTTENS LÄN</t>
        </is>
      </c>
      <c r="E468" t="inlineStr">
        <is>
          <t>ÄLVSBYN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64407-2023</t>
        </is>
      </c>
      <c r="B469" s="1" t="n">
        <v>45280</v>
      </c>
      <c r="C469" s="1" t="n">
        <v>45795</v>
      </c>
      <c r="D469" t="inlineStr">
        <is>
          <t>NORRBOTTENS LÄN</t>
        </is>
      </c>
      <c r="E469" t="inlineStr">
        <is>
          <t>ÄLVSBYN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64472-2023</t>
        </is>
      </c>
      <c r="B470" s="1" t="n">
        <v>45280</v>
      </c>
      <c r="C470" s="1" t="n">
        <v>45795</v>
      </c>
      <c r="D470" t="inlineStr">
        <is>
          <t>NORRBOTTENS LÄN</t>
        </is>
      </c>
      <c r="E470" t="inlineStr">
        <is>
          <t>ÄLVSBYN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64470-2023</t>
        </is>
      </c>
      <c r="B471" s="1" t="n">
        <v>45280</v>
      </c>
      <c r="C471" s="1" t="n">
        <v>45795</v>
      </c>
      <c r="D471" t="inlineStr">
        <is>
          <t>NORRBOTTENS LÄN</t>
        </is>
      </c>
      <c r="E471" t="inlineStr">
        <is>
          <t>ÄLVSBYN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64471-2023</t>
        </is>
      </c>
      <c r="B472" s="1" t="n">
        <v>45280</v>
      </c>
      <c r="C472" s="1" t="n">
        <v>45795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64473-2023</t>
        </is>
      </c>
      <c r="B473" s="1" t="n">
        <v>45280</v>
      </c>
      <c r="C473" s="1" t="n">
        <v>45795</v>
      </c>
      <c r="D473" t="inlineStr">
        <is>
          <t>NORRBOTTENS LÄN</t>
        </is>
      </c>
      <c r="E473" t="inlineStr">
        <is>
          <t>ÄLVSBYN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64872-2023</t>
        </is>
      </c>
      <c r="B474" s="1" t="n">
        <v>45282</v>
      </c>
      <c r="C474" s="1" t="n">
        <v>45795</v>
      </c>
      <c r="D474" t="inlineStr">
        <is>
          <t>NORRBOTTENS LÄN</t>
        </is>
      </c>
      <c r="E474" t="inlineStr">
        <is>
          <t>ÄLVSBYN</t>
        </is>
      </c>
      <c r="F474" t="inlineStr">
        <is>
          <t>Övriga Aktiebolag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64876-2023</t>
        </is>
      </c>
      <c r="B475" s="1" t="n">
        <v>45282</v>
      </c>
      <c r="C475" s="1" t="n">
        <v>45795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64882-2023</t>
        </is>
      </c>
      <c r="B476" s="1" t="n">
        <v>45282</v>
      </c>
      <c r="C476" s="1" t="n">
        <v>45795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404-2024</t>
        </is>
      </c>
      <c r="B477" s="1" t="n">
        <v>45296</v>
      </c>
      <c r="C477" s="1" t="n">
        <v>45795</v>
      </c>
      <c r="D477" t="inlineStr">
        <is>
          <t>NORRBOTTENS LÄN</t>
        </is>
      </c>
      <c r="E477" t="inlineStr">
        <is>
          <t>ÄLVSBYN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594-2024</t>
        </is>
      </c>
      <c r="B478" s="1" t="n">
        <v>45299</v>
      </c>
      <c r="C478" s="1" t="n">
        <v>45795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658-2024</t>
        </is>
      </c>
      <c r="B479" s="1" t="n">
        <v>45299</v>
      </c>
      <c r="C479" s="1" t="n">
        <v>45795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1200-2024</t>
        </is>
      </c>
      <c r="B480" s="1" t="n">
        <v>45302</v>
      </c>
      <c r="C480" s="1" t="n">
        <v>45795</v>
      </c>
      <c r="D480" t="inlineStr">
        <is>
          <t>NORRBOTTENS LÄN</t>
        </is>
      </c>
      <c r="E480" t="inlineStr">
        <is>
          <t>ÄLVSBYN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1238-2024</t>
        </is>
      </c>
      <c r="B481" s="1" t="n">
        <v>45302</v>
      </c>
      <c r="C481" s="1" t="n">
        <v>45795</v>
      </c>
      <c r="D481" t="inlineStr">
        <is>
          <t>NORRBOTTENS LÄN</t>
        </is>
      </c>
      <c r="E481" t="inlineStr">
        <is>
          <t>ÄLVSBYN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1207-2024</t>
        </is>
      </c>
      <c r="B482" s="1" t="n">
        <v>45302</v>
      </c>
      <c r="C482" s="1" t="n">
        <v>45795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1486-2024</t>
        </is>
      </c>
      <c r="B483" s="1" t="n">
        <v>45305</v>
      </c>
      <c r="C483" s="1" t="n">
        <v>45795</v>
      </c>
      <c r="D483" t="inlineStr">
        <is>
          <t>NORRBOTTENS LÄN</t>
        </is>
      </c>
      <c r="E483" t="inlineStr">
        <is>
          <t>ÄLVSBYN</t>
        </is>
      </c>
      <c r="G483" t="n">
        <v>92.09999999999999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2324-2024</t>
        </is>
      </c>
      <c r="B484" s="1" t="n">
        <v>45310</v>
      </c>
      <c r="C484" s="1" t="n">
        <v>45795</v>
      </c>
      <c r="D484" t="inlineStr">
        <is>
          <t>NORRBOTTENS LÄN</t>
        </is>
      </c>
      <c r="E484" t="inlineStr">
        <is>
          <t>ÄLVSBYN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2321-2024</t>
        </is>
      </c>
      <c r="B485" s="1" t="n">
        <v>45310</v>
      </c>
      <c r="C485" s="1" t="n">
        <v>45795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3509-2024</t>
        </is>
      </c>
      <c r="B486" s="1" t="n">
        <v>45320</v>
      </c>
      <c r="C486" s="1" t="n">
        <v>45795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3984-2024</t>
        </is>
      </c>
      <c r="B487" s="1" t="n">
        <v>45322</v>
      </c>
      <c r="C487" s="1" t="n">
        <v>45795</v>
      </c>
      <c r="D487" t="inlineStr">
        <is>
          <t>NORRBOTTENS LÄN</t>
        </is>
      </c>
      <c r="E487" t="inlineStr">
        <is>
          <t>ÄLVSBYN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4690-2024</t>
        </is>
      </c>
      <c r="B488" s="1" t="n">
        <v>45328</v>
      </c>
      <c r="C488" s="1" t="n">
        <v>45795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5378-2024</t>
        </is>
      </c>
      <c r="B489" s="1" t="n">
        <v>45331</v>
      </c>
      <c r="C489" s="1" t="n">
        <v>45795</v>
      </c>
      <c r="D489" t="inlineStr">
        <is>
          <t>NORRBOTTENS LÄN</t>
        </is>
      </c>
      <c r="E489" t="inlineStr">
        <is>
          <t>ÄLVSBYN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5389-2024</t>
        </is>
      </c>
      <c r="B490" s="1" t="n">
        <v>45331</v>
      </c>
      <c r="C490" s="1" t="n">
        <v>45795</v>
      </c>
      <c r="D490" t="inlineStr">
        <is>
          <t>NORRBOTTENS LÄN</t>
        </is>
      </c>
      <c r="E490" t="inlineStr">
        <is>
          <t>ÄLVSBYN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5419-2024</t>
        </is>
      </c>
      <c r="B491" s="1" t="n">
        <v>45331</v>
      </c>
      <c r="C491" s="1" t="n">
        <v>45795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5646-2024</t>
        </is>
      </c>
      <c r="B492" s="1" t="n">
        <v>45334</v>
      </c>
      <c r="C492" s="1" t="n">
        <v>45795</v>
      </c>
      <c r="D492" t="inlineStr">
        <is>
          <t>NORRBOTTENS LÄN</t>
        </is>
      </c>
      <c r="E492" t="inlineStr">
        <is>
          <t>ÄLVSBYN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5650-2024</t>
        </is>
      </c>
      <c r="B493" s="1" t="n">
        <v>45334</v>
      </c>
      <c r="C493" s="1" t="n">
        <v>45795</v>
      </c>
      <c r="D493" t="inlineStr">
        <is>
          <t>NORRBOTTENS LÄN</t>
        </is>
      </c>
      <c r="E493" t="inlineStr">
        <is>
          <t>ÄLVSBYN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5628-2024</t>
        </is>
      </c>
      <c r="B494" s="1" t="n">
        <v>45334</v>
      </c>
      <c r="C494" s="1" t="n">
        <v>45795</v>
      </c>
      <c r="D494" t="inlineStr">
        <is>
          <t>NORRBOTTENS LÄN</t>
        </is>
      </c>
      <c r="E494" t="inlineStr">
        <is>
          <t>ÄLVSBYN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5732-2024</t>
        </is>
      </c>
      <c r="B495" s="1" t="n">
        <v>45334</v>
      </c>
      <c r="C495" s="1" t="n">
        <v>45795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5733-2024</t>
        </is>
      </c>
      <c r="B496" s="1" t="n">
        <v>45334</v>
      </c>
      <c r="C496" s="1" t="n">
        <v>45795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6197-2024</t>
        </is>
      </c>
      <c r="B497" s="1" t="n">
        <v>45337</v>
      </c>
      <c r="C497" s="1" t="n">
        <v>45795</v>
      </c>
      <c r="D497" t="inlineStr">
        <is>
          <t>NORRBOTTENS LÄN</t>
        </is>
      </c>
      <c r="E497" t="inlineStr">
        <is>
          <t>ÄLVSBYN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6864-2024</t>
        </is>
      </c>
      <c r="B498" s="1" t="n">
        <v>45342</v>
      </c>
      <c r="C498" s="1" t="n">
        <v>45795</v>
      </c>
      <c r="D498" t="inlineStr">
        <is>
          <t>NORRBOTTENS LÄN</t>
        </is>
      </c>
      <c r="E498" t="inlineStr">
        <is>
          <t>ÄLVSBYN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6899-2024</t>
        </is>
      </c>
      <c r="B499" s="1" t="n">
        <v>45342</v>
      </c>
      <c r="C499" s="1" t="n">
        <v>45795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6866-2024</t>
        </is>
      </c>
      <c r="B500" s="1" t="n">
        <v>45342</v>
      </c>
      <c r="C500" s="1" t="n">
        <v>45795</v>
      </c>
      <c r="D500" t="inlineStr">
        <is>
          <t>NORRBOTTENS LÄN</t>
        </is>
      </c>
      <c r="E500" t="inlineStr">
        <is>
          <t>ÄLVSBYN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7115-2024</t>
        </is>
      </c>
      <c r="B501" s="1" t="n">
        <v>45343</v>
      </c>
      <c r="C501" s="1" t="n">
        <v>45795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7266-2024</t>
        </is>
      </c>
      <c r="B502" s="1" t="n">
        <v>45344</v>
      </c>
      <c r="C502" s="1" t="n">
        <v>45795</v>
      </c>
      <c r="D502" t="inlineStr">
        <is>
          <t>NORRBOTTENS LÄN</t>
        </is>
      </c>
      <c r="E502" t="inlineStr">
        <is>
          <t>ÄLVSBYN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7289-2024</t>
        </is>
      </c>
      <c r="B503" s="1" t="n">
        <v>45344</v>
      </c>
      <c r="C503" s="1" t="n">
        <v>45795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7479-2024</t>
        </is>
      </c>
      <c r="B504" s="1" t="n">
        <v>45345</v>
      </c>
      <c r="C504" s="1" t="n">
        <v>45795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8508-2024</t>
        </is>
      </c>
      <c r="B505" s="1" t="n">
        <v>45351</v>
      </c>
      <c r="C505" s="1" t="n">
        <v>45795</v>
      </c>
      <c r="D505" t="inlineStr">
        <is>
          <t>NORRBOTTENS LÄN</t>
        </is>
      </c>
      <c r="E505" t="inlineStr">
        <is>
          <t>ÄLVSBYN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8517-2024</t>
        </is>
      </c>
      <c r="B506" s="1" t="n">
        <v>45351</v>
      </c>
      <c r="C506" s="1" t="n">
        <v>45795</v>
      </c>
      <c r="D506" t="inlineStr">
        <is>
          <t>NORRBOTTENS LÄN</t>
        </is>
      </c>
      <c r="E506" t="inlineStr">
        <is>
          <t>ÄLVSBYN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8638-2024</t>
        </is>
      </c>
      <c r="B507" s="1" t="n">
        <v>45356</v>
      </c>
      <c r="C507" s="1" t="n">
        <v>45795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8646-2024</t>
        </is>
      </c>
      <c r="B508" s="1" t="n">
        <v>45356</v>
      </c>
      <c r="C508" s="1" t="n">
        <v>45795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8867-2024</t>
        </is>
      </c>
      <c r="B509" s="1" t="n">
        <v>45357</v>
      </c>
      <c r="C509" s="1" t="n">
        <v>45795</v>
      </c>
      <c r="D509" t="inlineStr">
        <is>
          <t>NORRBOTTENS LÄN</t>
        </is>
      </c>
      <c r="E509" t="inlineStr">
        <is>
          <t>ÄLVSBYN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9017-2024</t>
        </is>
      </c>
      <c r="B510" s="1" t="n">
        <v>45356</v>
      </c>
      <c r="C510" s="1" t="n">
        <v>45795</v>
      </c>
      <c r="D510" t="inlineStr">
        <is>
          <t>NORRBOTTENS LÄN</t>
        </is>
      </c>
      <c r="E510" t="inlineStr">
        <is>
          <t>ÄLVSBYN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9022-2024</t>
        </is>
      </c>
      <c r="B511" s="1" t="n">
        <v>45356</v>
      </c>
      <c r="C511" s="1" t="n">
        <v>45795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10040-2024</t>
        </is>
      </c>
      <c r="B512" s="1" t="n">
        <v>45364</v>
      </c>
      <c r="C512" s="1" t="n">
        <v>45795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10206-2024</t>
        </is>
      </c>
      <c r="B513" s="1" t="n">
        <v>45364</v>
      </c>
      <c r="C513" s="1" t="n">
        <v>45795</v>
      </c>
      <c r="D513" t="inlineStr">
        <is>
          <t>NORRBOTTENS LÄN</t>
        </is>
      </c>
      <c r="E513" t="inlineStr">
        <is>
          <t>ÄLVSBYN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10249-2024</t>
        </is>
      </c>
      <c r="B514" s="1" t="n">
        <v>45365</v>
      </c>
      <c r="C514" s="1" t="n">
        <v>45795</v>
      </c>
      <c r="D514" t="inlineStr">
        <is>
          <t>NORRBOTTENS LÄN</t>
        </is>
      </c>
      <c r="E514" t="inlineStr">
        <is>
          <t>ÄLVSBYN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10434-2024</t>
        </is>
      </c>
      <c r="B515" s="1" t="n">
        <v>45365</v>
      </c>
      <c r="C515" s="1" t="n">
        <v>45795</v>
      </c>
      <c r="D515" t="inlineStr">
        <is>
          <t>NORRBOTTENS LÄN</t>
        </is>
      </c>
      <c r="E515" t="inlineStr">
        <is>
          <t>ÄLVSBYN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10871-2024</t>
        </is>
      </c>
      <c r="B516" s="1" t="n">
        <v>45370</v>
      </c>
      <c r="C516" s="1" t="n">
        <v>45795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11654-2024</t>
        </is>
      </c>
      <c r="B517" s="1" t="n">
        <v>45373</v>
      </c>
      <c r="C517" s="1" t="n">
        <v>45795</v>
      </c>
      <c r="D517" t="inlineStr">
        <is>
          <t>NORRBOTTENS LÄN</t>
        </is>
      </c>
      <c r="E517" t="inlineStr">
        <is>
          <t>ÄLVSBYN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12440-2024</t>
        </is>
      </c>
      <c r="B518" s="1" t="n">
        <v>45379</v>
      </c>
      <c r="C518" s="1" t="n">
        <v>45795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26.3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14445-2024</t>
        </is>
      </c>
      <c r="B519" s="1" t="n">
        <v>45394</v>
      </c>
      <c r="C519" s="1" t="n">
        <v>45795</v>
      </c>
      <c r="D519" t="inlineStr">
        <is>
          <t>NORRBOTTENS LÄN</t>
        </is>
      </c>
      <c r="E519" t="inlineStr">
        <is>
          <t>ÄLVSBYN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14470-2024</t>
        </is>
      </c>
      <c r="B520" s="1" t="n">
        <v>45394</v>
      </c>
      <c r="C520" s="1" t="n">
        <v>45795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14446-2024</t>
        </is>
      </c>
      <c r="B521" s="1" t="n">
        <v>45394</v>
      </c>
      <c r="C521" s="1" t="n">
        <v>45795</v>
      </c>
      <c r="D521" t="inlineStr">
        <is>
          <t>NORRBOTTENS LÄN</t>
        </is>
      </c>
      <c r="E521" t="inlineStr">
        <is>
          <t>ÄLVSBYN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14579-2024</t>
        </is>
      </c>
      <c r="B522" s="1" t="n">
        <v>45395</v>
      </c>
      <c r="C522" s="1" t="n">
        <v>45795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15417-2024</t>
        </is>
      </c>
      <c r="B523" s="1" t="n">
        <v>45401</v>
      </c>
      <c r="C523" s="1" t="n">
        <v>45795</v>
      </c>
      <c r="D523" t="inlineStr">
        <is>
          <t>NORRBOTTENS LÄN</t>
        </is>
      </c>
      <c r="E523" t="inlineStr">
        <is>
          <t>ÄLVSBYN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15401-2024</t>
        </is>
      </c>
      <c r="B524" s="1" t="n">
        <v>45401</v>
      </c>
      <c r="C524" s="1" t="n">
        <v>45795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15531-2024</t>
        </is>
      </c>
      <c r="B525" s="1" t="n">
        <v>45401</v>
      </c>
      <c r="C525" s="1" t="n">
        <v>45795</v>
      </c>
      <c r="D525" t="inlineStr">
        <is>
          <t>NORRBOTTENS LÄN</t>
        </is>
      </c>
      <c r="E525" t="inlineStr">
        <is>
          <t>ÄLVSBYN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15410-2024</t>
        </is>
      </c>
      <c r="B526" s="1" t="n">
        <v>45401</v>
      </c>
      <c r="C526" s="1" t="n">
        <v>45795</v>
      </c>
      <c r="D526" t="inlineStr">
        <is>
          <t>NORRBOTTENS LÄN</t>
        </is>
      </c>
      <c r="E526" t="inlineStr">
        <is>
          <t>ÄLVSBYN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15845-2024</t>
        </is>
      </c>
      <c r="B527" s="1" t="n">
        <v>45404</v>
      </c>
      <c r="C527" s="1" t="n">
        <v>45795</v>
      </c>
      <c r="D527" t="inlineStr">
        <is>
          <t>NORRBOTTENS LÄN</t>
        </is>
      </c>
      <c r="E527" t="inlineStr">
        <is>
          <t>ÄLVSBYN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15936-2024</t>
        </is>
      </c>
      <c r="B528" s="1" t="n">
        <v>45405</v>
      </c>
      <c r="C528" s="1" t="n">
        <v>45795</v>
      </c>
      <c r="D528" t="inlineStr">
        <is>
          <t>NORRBOTTENS LÄN</t>
        </is>
      </c>
      <c r="E528" t="inlineStr">
        <is>
          <t>ÄLVSBYN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15959-2024</t>
        </is>
      </c>
      <c r="B529" s="1" t="n">
        <v>45405</v>
      </c>
      <c r="C529" s="1" t="n">
        <v>45795</v>
      </c>
      <c r="D529" t="inlineStr">
        <is>
          <t>NORRBOTTENS LÄN</t>
        </is>
      </c>
      <c r="E529" t="inlineStr">
        <is>
          <t>ÄLVSBYN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16057-2024</t>
        </is>
      </c>
      <c r="B530" s="1" t="n">
        <v>45406</v>
      </c>
      <c r="C530" s="1" t="n">
        <v>45795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16204-2024</t>
        </is>
      </c>
      <c r="B531" s="1" t="n">
        <v>45406</v>
      </c>
      <c r="C531" s="1" t="n">
        <v>45795</v>
      </c>
      <c r="D531" t="inlineStr">
        <is>
          <t>NORRBOTTENS LÄN</t>
        </is>
      </c>
      <c r="E531" t="inlineStr">
        <is>
          <t>ÄLVSBYN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16347-2024</t>
        </is>
      </c>
      <c r="B532" s="1" t="n">
        <v>45407</v>
      </c>
      <c r="C532" s="1" t="n">
        <v>45795</v>
      </c>
      <c r="D532" t="inlineStr">
        <is>
          <t>NORRBOTTENS LÄN</t>
        </is>
      </c>
      <c r="E532" t="inlineStr">
        <is>
          <t>ÄLVSBYN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17594-2024</t>
        </is>
      </c>
      <c r="B533" s="1" t="n">
        <v>45416</v>
      </c>
      <c r="C533" s="1" t="n">
        <v>45795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19998-2024</t>
        </is>
      </c>
      <c r="B534" s="1" t="n">
        <v>45434</v>
      </c>
      <c r="C534" s="1" t="n">
        <v>45795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20253-2024</t>
        </is>
      </c>
      <c r="B535" s="1" t="n">
        <v>45434</v>
      </c>
      <c r="C535" s="1" t="n">
        <v>45795</v>
      </c>
      <c r="D535" t="inlineStr">
        <is>
          <t>NORRBOTTENS LÄN</t>
        </is>
      </c>
      <c r="E535" t="inlineStr">
        <is>
          <t>ÄLVSBYN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20254-2024</t>
        </is>
      </c>
      <c r="B536" s="1" t="n">
        <v>45434</v>
      </c>
      <c r="C536" s="1" t="n">
        <v>45795</v>
      </c>
      <c r="D536" t="inlineStr">
        <is>
          <t>NORRBOTTENS LÄN</t>
        </is>
      </c>
      <c r="E536" t="inlineStr">
        <is>
          <t>ÄLVSBYN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20959-2024</t>
        </is>
      </c>
      <c r="B537" s="1" t="n">
        <v>45439</v>
      </c>
      <c r="C537" s="1" t="n">
        <v>45795</v>
      </c>
      <c r="D537" t="inlineStr">
        <is>
          <t>NORRBOTTENS LÄN</t>
        </is>
      </c>
      <c r="E537" t="inlineStr">
        <is>
          <t>ÄLVSBYN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20942-2024</t>
        </is>
      </c>
      <c r="B538" s="1" t="n">
        <v>45439</v>
      </c>
      <c r="C538" s="1" t="n">
        <v>45795</v>
      </c>
      <c r="D538" t="inlineStr">
        <is>
          <t>NORRBOTTENS LÄN</t>
        </is>
      </c>
      <c r="E538" t="inlineStr">
        <is>
          <t>ÄLVSBYN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21258-2024</t>
        </is>
      </c>
      <c r="B539" s="1" t="n">
        <v>45440</v>
      </c>
      <c r="C539" s="1" t="n">
        <v>45795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21365-2024</t>
        </is>
      </c>
      <c r="B540" s="1" t="n">
        <v>45440</v>
      </c>
      <c r="C540" s="1" t="n">
        <v>45795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21523-2024</t>
        </is>
      </c>
      <c r="B541" s="1" t="n">
        <v>45441</v>
      </c>
      <c r="C541" s="1" t="n">
        <v>45795</v>
      </c>
      <c r="D541" t="inlineStr">
        <is>
          <t>NORRBOTTENS LÄN</t>
        </is>
      </c>
      <c r="E541" t="inlineStr">
        <is>
          <t>ÄLVSBYN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21501-2024</t>
        </is>
      </c>
      <c r="B542" s="1" t="n">
        <v>45441</v>
      </c>
      <c r="C542" s="1" t="n">
        <v>45795</v>
      </c>
      <c r="D542" t="inlineStr">
        <is>
          <t>NORRBOTTENS LÄN</t>
        </is>
      </c>
      <c r="E542" t="inlineStr">
        <is>
          <t>ÄLVSBYN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21743-2024</t>
        </is>
      </c>
      <c r="B543" s="1" t="n">
        <v>45442</v>
      </c>
      <c r="C543" s="1" t="n">
        <v>45795</v>
      </c>
      <c r="D543" t="inlineStr">
        <is>
          <t>NORRBOTTENS LÄN</t>
        </is>
      </c>
      <c r="E543" t="inlineStr">
        <is>
          <t>ÄLVSBYN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22034-2024</t>
        </is>
      </c>
      <c r="B544" s="1" t="n">
        <v>45443</v>
      </c>
      <c r="C544" s="1" t="n">
        <v>45795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21857-2024</t>
        </is>
      </c>
      <c r="B545" s="1" t="n">
        <v>45443</v>
      </c>
      <c r="C545" s="1" t="n">
        <v>45795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21977-2024</t>
        </is>
      </c>
      <c r="B546" s="1" t="n">
        <v>45443</v>
      </c>
      <c r="C546" s="1" t="n">
        <v>45795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22810-2024</t>
        </is>
      </c>
      <c r="B547" s="1" t="n">
        <v>45448</v>
      </c>
      <c r="C547" s="1" t="n">
        <v>45795</v>
      </c>
      <c r="D547" t="inlineStr">
        <is>
          <t>NORRBOTTENS LÄN</t>
        </is>
      </c>
      <c r="E547" t="inlineStr">
        <is>
          <t>ÄLVSBYN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22807-2024</t>
        </is>
      </c>
      <c r="B548" s="1" t="n">
        <v>45448</v>
      </c>
      <c r="C548" s="1" t="n">
        <v>45795</v>
      </c>
      <c r="D548" t="inlineStr">
        <is>
          <t>NORRBOTTENS LÄN</t>
        </is>
      </c>
      <c r="E548" t="inlineStr">
        <is>
          <t>ÄLVSBYN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23136-2024</t>
        </is>
      </c>
      <c r="B549" s="1" t="n">
        <v>45450</v>
      </c>
      <c r="C549" s="1" t="n">
        <v>45795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23415-2024</t>
        </is>
      </c>
      <c r="B550" s="1" t="n">
        <v>45453</v>
      </c>
      <c r="C550" s="1" t="n">
        <v>45795</v>
      </c>
      <c r="D550" t="inlineStr">
        <is>
          <t>NORRBOTTENS LÄN</t>
        </is>
      </c>
      <c r="E550" t="inlineStr">
        <is>
          <t>ÄLVSBYN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25103-2024</t>
        </is>
      </c>
      <c r="B551" s="1" t="n">
        <v>45462</v>
      </c>
      <c r="C551" s="1" t="n">
        <v>45795</v>
      </c>
      <c r="D551" t="inlineStr">
        <is>
          <t>NORRBOTTENS LÄN</t>
        </is>
      </c>
      <c r="E551" t="inlineStr">
        <is>
          <t>ÄLVSBYN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25420-2024</t>
        </is>
      </c>
      <c r="B552" s="1" t="n">
        <v>45463</v>
      </c>
      <c r="C552" s="1" t="n">
        <v>45795</v>
      </c>
      <c r="D552" t="inlineStr">
        <is>
          <t>NORRBOTTENS LÄN</t>
        </is>
      </c>
      <c r="E552" t="inlineStr">
        <is>
          <t>ÄLVSBYN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25457-2024</t>
        </is>
      </c>
      <c r="B553" s="1" t="n">
        <v>45463</v>
      </c>
      <c r="C553" s="1" t="n">
        <v>45795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26003-2024</t>
        </is>
      </c>
      <c r="B554" s="1" t="n">
        <v>45467</v>
      </c>
      <c r="C554" s="1" t="n">
        <v>45795</v>
      </c>
      <c r="D554" t="inlineStr">
        <is>
          <t>NORRBOTTENS LÄN</t>
        </is>
      </c>
      <c r="E554" t="inlineStr">
        <is>
          <t>ÄLVSBYN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26276-2024</t>
        </is>
      </c>
      <c r="B555" s="1" t="n">
        <v>45468</v>
      </c>
      <c r="C555" s="1" t="n">
        <v>45795</v>
      </c>
      <c r="D555" t="inlineStr">
        <is>
          <t>NORRBOTTENS LÄN</t>
        </is>
      </c>
      <c r="E555" t="inlineStr">
        <is>
          <t>ÄLVSBYN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26727-2024</t>
        </is>
      </c>
      <c r="B556" s="1" t="n">
        <v>45470</v>
      </c>
      <c r="C556" s="1" t="n">
        <v>45795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27550-2024</t>
        </is>
      </c>
      <c r="B557" s="1" t="n">
        <v>45474</v>
      </c>
      <c r="C557" s="1" t="n">
        <v>45795</v>
      </c>
      <c r="D557" t="inlineStr">
        <is>
          <t>NORRBOTTENS LÄN</t>
        </is>
      </c>
      <c r="E557" t="inlineStr">
        <is>
          <t>ÄLVSBYN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27912-2024</t>
        </is>
      </c>
      <c r="B558" s="1" t="n">
        <v>45476</v>
      </c>
      <c r="C558" s="1" t="n">
        <v>45795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28163-2024</t>
        </is>
      </c>
      <c r="B559" s="1" t="n">
        <v>45477</v>
      </c>
      <c r="C559" s="1" t="n">
        <v>45795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28513-2024</t>
        </is>
      </c>
      <c r="B560" s="1" t="n">
        <v>45478</v>
      </c>
      <c r="C560" s="1" t="n">
        <v>45795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28358-2024</t>
        </is>
      </c>
      <c r="B561" s="1" t="n">
        <v>45477</v>
      </c>
      <c r="C561" s="1" t="n">
        <v>45795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28314-2024</t>
        </is>
      </c>
      <c r="B562" s="1" t="n">
        <v>45477</v>
      </c>
      <c r="C562" s="1" t="n">
        <v>45795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28862-2024</t>
        </is>
      </c>
      <c r="B563" s="1" t="n">
        <v>45479</v>
      </c>
      <c r="C563" s="1" t="n">
        <v>45795</v>
      </c>
      <c r="D563" t="inlineStr">
        <is>
          <t>NORRBOTTENS LÄN</t>
        </is>
      </c>
      <c r="E563" t="inlineStr">
        <is>
          <t>ÄLVSBYN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29110-2024</t>
        </is>
      </c>
      <c r="B564" s="1" t="n">
        <v>45482</v>
      </c>
      <c r="C564" s="1" t="n">
        <v>45795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29112-2024</t>
        </is>
      </c>
      <c r="B565" s="1" t="n">
        <v>45482</v>
      </c>
      <c r="C565" s="1" t="n">
        <v>45795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29111-2024</t>
        </is>
      </c>
      <c r="B566" s="1" t="n">
        <v>45482</v>
      </c>
      <c r="C566" s="1" t="n">
        <v>45795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29683-2024</t>
        </is>
      </c>
      <c r="B567" s="1" t="n">
        <v>45485</v>
      </c>
      <c r="C567" s="1" t="n">
        <v>45795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29682-2024</t>
        </is>
      </c>
      <c r="B568" s="1" t="n">
        <v>45485</v>
      </c>
      <c r="C568" s="1" t="n">
        <v>45795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30500-2024</t>
        </is>
      </c>
      <c r="B569" s="1" t="n">
        <v>45492</v>
      </c>
      <c r="C569" s="1" t="n">
        <v>45795</v>
      </c>
      <c r="D569" t="inlineStr">
        <is>
          <t>NORRBOTTENS LÄN</t>
        </is>
      </c>
      <c r="E569" t="inlineStr">
        <is>
          <t>ÄLVSBYN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30499-2024</t>
        </is>
      </c>
      <c r="B570" s="1" t="n">
        <v>45492</v>
      </c>
      <c r="C570" s="1" t="n">
        <v>45795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30606-2024</t>
        </is>
      </c>
      <c r="B571" s="1" t="n">
        <v>45495</v>
      </c>
      <c r="C571" s="1" t="n">
        <v>45795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30690-2024</t>
        </is>
      </c>
      <c r="B572" s="1" t="n">
        <v>45496</v>
      </c>
      <c r="C572" s="1" t="n">
        <v>45795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30688-2024</t>
        </is>
      </c>
      <c r="B573" s="1" t="n">
        <v>45496</v>
      </c>
      <c r="C573" s="1" t="n">
        <v>45795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31452-2024</t>
        </is>
      </c>
      <c r="B574" s="1" t="n">
        <v>45505</v>
      </c>
      <c r="C574" s="1" t="n">
        <v>45795</v>
      </c>
      <c r="D574" t="inlineStr">
        <is>
          <t>NORRBOTTENS LÄN</t>
        </is>
      </c>
      <c r="E574" t="inlineStr">
        <is>
          <t>ÄLVSBYN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31553-2024</t>
        </is>
      </c>
      <c r="B575" s="1" t="n">
        <v>45505</v>
      </c>
      <c r="C575" s="1" t="n">
        <v>45795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31900-2024</t>
        </is>
      </c>
      <c r="B576" s="1" t="n">
        <v>45510</v>
      </c>
      <c r="C576" s="1" t="n">
        <v>45795</v>
      </c>
      <c r="D576" t="inlineStr">
        <is>
          <t>NORRBOTTENS LÄN</t>
        </is>
      </c>
      <c r="E576" t="inlineStr">
        <is>
          <t>ÄLVSBYN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32195-2024</t>
        </is>
      </c>
      <c r="B577" s="1" t="n">
        <v>45511</v>
      </c>
      <c r="C577" s="1" t="n">
        <v>45795</v>
      </c>
      <c r="D577" t="inlineStr">
        <is>
          <t>NORRBOTTENS LÄN</t>
        </is>
      </c>
      <c r="E577" t="inlineStr">
        <is>
          <t>ÄLVSBYN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32202-2024</t>
        </is>
      </c>
      <c r="B578" s="1" t="n">
        <v>45511</v>
      </c>
      <c r="C578" s="1" t="n">
        <v>45795</v>
      </c>
      <c r="D578" t="inlineStr">
        <is>
          <t>NORRBOTTENS LÄN</t>
        </is>
      </c>
      <c r="E578" t="inlineStr">
        <is>
          <t>ÄLVSBYN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32657-2024</t>
        </is>
      </c>
      <c r="B579" s="1" t="n">
        <v>45513</v>
      </c>
      <c r="C579" s="1" t="n">
        <v>45795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32642-2024</t>
        </is>
      </c>
      <c r="B580" s="1" t="n">
        <v>45514</v>
      </c>
      <c r="C580" s="1" t="n">
        <v>45795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32643-2024</t>
        </is>
      </c>
      <c r="B581" s="1" t="n">
        <v>45514</v>
      </c>
      <c r="C581" s="1" t="n">
        <v>45795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32905-2024</t>
        </is>
      </c>
      <c r="B582" s="1" t="n">
        <v>45516</v>
      </c>
      <c r="C582" s="1" t="n">
        <v>45795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32952-2024</t>
        </is>
      </c>
      <c r="B583" s="1" t="n">
        <v>45517</v>
      </c>
      <c r="C583" s="1" t="n">
        <v>45795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32955-2024</t>
        </is>
      </c>
      <c r="B584" s="1" t="n">
        <v>45517</v>
      </c>
      <c r="C584" s="1" t="n">
        <v>45795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33303-2024</t>
        </is>
      </c>
      <c r="B585" s="1" t="n">
        <v>45519</v>
      </c>
      <c r="C585" s="1" t="n">
        <v>45795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33234-2024</t>
        </is>
      </c>
      <c r="B586" s="1" t="n">
        <v>45518</v>
      </c>
      <c r="C586" s="1" t="n">
        <v>45795</v>
      </c>
      <c r="D586" t="inlineStr">
        <is>
          <t>NORRBOTTENS LÄN</t>
        </is>
      </c>
      <c r="E586" t="inlineStr">
        <is>
          <t>ÄLVSBYN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33336-2024</t>
        </is>
      </c>
      <c r="B587" s="1" t="n">
        <v>45519</v>
      </c>
      <c r="C587" s="1" t="n">
        <v>45795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33946-2024</t>
        </is>
      </c>
      <c r="B588" s="1" t="n">
        <v>45523</v>
      </c>
      <c r="C588" s="1" t="n">
        <v>45795</v>
      </c>
      <c r="D588" t="inlineStr">
        <is>
          <t>NORRBOTTENS LÄN</t>
        </is>
      </c>
      <c r="E588" t="inlineStr">
        <is>
          <t>ÄLVSBYN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34356-2024</t>
        </is>
      </c>
      <c r="B589" s="1" t="n">
        <v>45525</v>
      </c>
      <c r="C589" s="1" t="n">
        <v>45795</v>
      </c>
      <c r="D589" t="inlineStr">
        <is>
          <t>NORRBOTTENS LÄN</t>
        </is>
      </c>
      <c r="E589" t="inlineStr">
        <is>
          <t>ÄLVSBYN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34448-2024</t>
        </is>
      </c>
      <c r="B590" s="1" t="n">
        <v>45525</v>
      </c>
      <c r="C590" s="1" t="n">
        <v>45795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34693-2024</t>
        </is>
      </c>
      <c r="B591" s="1" t="n">
        <v>45526</v>
      </c>
      <c r="C591" s="1" t="n">
        <v>45795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35538-2024</t>
        </is>
      </c>
      <c r="B592" s="1" t="n">
        <v>45531</v>
      </c>
      <c r="C592" s="1" t="n">
        <v>45795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35877-2024</t>
        </is>
      </c>
      <c r="B593" s="1" t="n">
        <v>45533</v>
      </c>
      <c r="C593" s="1" t="n">
        <v>45795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37291-2024</t>
        </is>
      </c>
      <c r="B594" s="1" t="n">
        <v>45540</v>
      </c>
      <c r="C594" s="1" t="n">
        <v>45795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37412-2024</t>
        </is>
      </c>
      <c r="B595" s="1" t="n">
        <v>45540</v>
      </c>
      <c r="C595" s="1" t="n">
        <v>45795</v>
      </c>
      <c r="D595" t="inlineStr">
        <is>
          <t>NORRBOTTENS LÄN</t>
        </is>
      </c>
      <c r="E595" t="inlineStr">
        <is>
          <t>ÄLVSBYN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37407-2024</t>
        </is>
      </c>
      <c r="B596" s="1" t="n">
        <v>45540</v>
      </c>
      <c r="C596" s="1" t="n">
        <v>45795</v>
      </c>
      <c r="D596" t="inlineStr">
        <is>
          <t>NORRBOTTENS LÄN</t>
        </is>
      </c>
      <c r="E596" t="inlineStr">
        <is>
          <t>ÄLVSBYN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37740-2024</t>
        </is>
      </c>
      <c r="B597" s="1" t="n">
        <v>45541</v>
      </c>
      <c r="C597" s="1" t="n">
        <v>45795</v>
      </c>
      <c r="D597" t="inlineStr">
        <is>
          <t>NORRBOTTENS LÄN</t>
        </is>
      </c>
      <c r="E597" t="inlineStr">
        <is>
          <t>ÄLVSBYN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37744-2024</t>
        </is>
      </c>
      <c r="B598" s="1" t="n">
        <v>45541</v>
      </c>
      <c r="C598" s="1" t="n">
        <v>45795</v>
      </c>
      <c r="D598" t="inlineStr">
        <is>
          <t>NORRBOTTENS LÄN</t>
        </is>
      </c>
      <c r="E598" t="inlineStr">
        <is>
          <t>ÄLVSBYN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37743-2024</t>
        </is>
      </c>
      <c r="B599" s="1" t="n">
        <v>45541</v>
      </c>
      <c r="C599" s="1" t="n">
        <v>45795</v>
      </c>
      <c r="D599" t="inlineStr">
        <is>
          <t>NORRBOTTENS LÄN</t>
        </is>
      </c>
      <c r="E599" t="inlineStr">
        <is>
          <t>ÄLVSBYN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37741-2024</t>
        </is>
      </c>
      <c r="B600" s="1" t="n">
        <v>45541</v>
      </c>
      <c r="C600" s="1" t="n">
        <v>45795</v>
      </c>
      <c r="D600" t="inlineStr">
        <is>
          <t>NORRBOTTENS LÄN</t>
        </is>
      </c>
      <c r="E600" t="inlineStr">
        <is>
          <t>ÄLVSBYN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37745-2024</t>
        </is>
      </c>
      <c r="B601" s="1" t="n">
        <v>45541</v>
      </c>
      <c r="C601" s="1" t="n">
        <v>45795</v>
      </c>
      <c r="D601" t="inlineStr">
        <is>
          <t>NORRBOTTENS LÄN</t>
        </is>
      </c>
      <c r="E601" t="inlineStr">
        <is>
          <t>ÄLVSBYN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38254-2024</t>
        </is>
      </c>
      <c r="B602" s="1" t="n">
        <v>45545</v>
      </c>
      <c r="C602" s="1" t="n">
        <v>45795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38311-2024</t>
        </is>
      </c>
      <c r="B603" s="1" t="n">
        <v>45545</v>
      </c>
      <c r="C603" s="1" t="n">
        <v>45795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38682-2024</t>
        </is>
      </c>
      <c r="B604" s="1" t="n">
        <v>45547</v>
      </c>
      <c r="C604" s="1" t="n">
        <v>45795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38999-2024</t>
        </is>
      </c>
      <c r="B605" s="1" t="n">
        <v>45548</v>
      </c>
      <c r="C605" s="1" t="n">
        <v>45795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39020-2024</t>
        </is>
      </c>
      <c r="B606" s="1" t="n">
        <v>45548</v>
      </c>
      <c r="C606" s="1" t="n">
        <v>45795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39267-2024</t>
        </is>
      </c>
      <c r="B607" s="1" t="n">
        <v>45551</v>
      </c>
      <c r="C607" s="1" t="n">
        <v>45795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39604-2024</t>
        </is>
      </c>
      <c r="B608" s="1" t="n">
        <v>45552</v>
      </c>
      <c r="C608" s="1" t="n">
        <v>45795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39645-2024</t>
        </is>
      </c>
      <c r="B609" s="1" t="n">
        <v>45552</v>
      </c>
      <c r="C609" s="1" t="n">
        <v>45795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39668-2024</t>
        </is>
      </c>
      <c r="B610" s="1" t="n">
        <v>45552</v>
      </c>
      <c r="C610" s="1" t="n">
        <v>45795</v>
      </c>
      <c r="D610" t="inlineStr">
        <is>
          <t>NORRBOTTENS LÄN</t>
        </is>
      </c>
      <c r="E610" t="inlineStr">
        <is>
          <t>ÄLVSBYN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40284-2024</t>
        </is>
      </c>
      <c r="B611" s="1" t="n">
        <v>45554</v>
      </c>
      <c r="C611" s="1" t="n">
        <v>45795</v>
      </c>
      <c r="D611" t="inlineStr">
        <is>
          <t>NORRBOTTENS LÄN</t>
        </is>
      </c>
      <c r="E611" t="inlineStr">
        <is>
          <t>ÄLVSBYN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40282-2024</t>
        </is>
      </c>
      <c r="B612" s="1" t="n">
        <v>45554</v>
      </c>
      <c r="C612" s="1" t="n">
        <v>45795</v>
      </c>
      <c r="D612" t="inlineStr">
        <is>
          <t>NORRBOTTENS LÄN</t>
        </is>
      </c>
      <c r="E612" t="inlineStr">
        <is>
          <t>ÄLVSBYN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41025-2024</t>
        </is>
      </c>
      <c r="B613" s="1" t="n">
        <v>45559</v>
      </c>
      <c r="C613" s="1" t="n">
        <v>45795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41845-2024</t>
        </is>
      </c>
      <c r="B614" s="1" t="n">
        <v>45561</v>
      </c>
      <c r="C614" s="1" t="n">
        <v>45795</v>
      </c>
      <c r="D614" t="inlineStr">
        <is>
          <t>NORRBOTTENS LÄN</t>
        </is>
      </c>
      <c r="E614" t="inlineStr">
        <is>
          <t>ÄLVSBYN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41989-2024</t>
        </is>
      </c>
      <c r="B615" s="1" t="n">
        <v>45561</v>
      </c>
      <c r="C615" s="1" t="n">
        <v>45795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41964-2024</t>
        </is>
      </c>
      <c r="B616" s="1" t="n">
        <v>45561</v>
      </c>
      <c r="C616" s="1" t="n">
        <v>45795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42255-2024</t>
        </is>
      </c>
      <c r="B617" s="1" t="n">
        <v>45562</v>
      </c>
      <c r="C617" s="1" t="n">
        <v>45795</v>
      </c>
      <c r="D617" t="inlineStr">
        <is>
          <t>NORRBOTTENS LÄN</t>
        </is>
      </c>
      <c r="E617" t="inlineStr">
        <is>
          <t>ÄLVSBYN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42252-2024</t>
        </is>
      </c>
      <c r="B618" s="1" t="n">
        <v>45562</v>
      </c>
      <c r="C618" s="1" t="n">
        <v>45795</v>
      </c>
      <c r="D618" t="inlineStr">
        <is>
          <t>NORRBOTTENS LÄN</t>
        </is>
      </c>
      <c r="E618" t="inlineStr">
        <is>
          <t>ÄLVSBYN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42444-2024</t>
        </is>
      </c>
      <c r="B619" s="1" t="n">
        <v>45565</v>
      </c>
      <c r="C619" s="1" t="n">
        <v>45795</v>
      </c>
      <c r="D619" t="inlineStr">
        <is>
          <t>NORRBOTTENS LÄN</t>
        </is>
      </c>
      <c r="E619" t="inlineStr">
        <is>
          <t>ÄLVSBYN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42477-2024</t>
        </is>
      </c>
      <c r="B620" s="1" t="n">
        <v>45565</v>
      </c>
      <c r="C620" s="1" t="n">
        <v>45795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42499-2024</t>
        </is>
      </c>
      <c r="B621" s="1" t="n">
        <v>45565</v>
      </c>
      <c r="C621" s="1" t="n">
        <v>45795</v>
      </c>
      <c r="D621" t="inlineStr">
        <is>
          <t>NORRBOTTENS LÄN</t>
        </is>
      </c>
      <c r="E621" t="inlineStr">
        <is>
          <t>ÄLVSBYN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42568-2024</t>
        </is>
      </c>
      <c r="B622" s="1" t="n">
        <v>45565</v>
      </c>
      <c r="C622" s="1" t="n">
        <v>45795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42505-2024</t>
        </is>
      </c>
      <c r="B623" s="1" t="n">
        <v>45565</v>
      </c>
      <c r="C623" s="1" t="n">
        <v>45795</v>
      </c>
      <c r="D623" t="inlineStr">
        <is>
          <t>NORRBOTTENS LÄN</t>
        </is>
      </c>
      <c r="E623" t="inlineStr">
        <is>
          <t>ÄLVSBYN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42574-2024</t>
        </is>
      </c>
      <c r="B624" s="1" t="n">
        <v>45565</v>
      </c>
      <c r="C624" s="1" t="n">
        <v>45795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42483-2024</t>
        </is>
      </c>
      <c r="B625" s="1" t="n">
        <v>45565</v>
      </c>
      <c r="C625" s="1" t="n">
        <v>45795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42558-2024</t>
        </is>
      </c>
      <c r="B626" s="1" t="n">
        <v>45565</v>
      </c>
      <c r="C626" s="1" t="n">
        <v>45795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42475-2024</t>
        </is>
      </c>
      <c r="B627" s="1" t="n">
        <v>45565</v>
      </c>
      <c r="C627" s="1" t="n">
        <v>45795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42506-2024</t>
        </is>
      </c>
      <c r="B628" s="1" t="n">
        <v>45565</v>
      </c>
      <c r="C628" s="1" t="n">
        <v>45795</v>
      </c>
      <c r="D628" t="inlineStr">
        <is>
          <t>NORRBOTTENS LÄN</t>
        </is>
      </c>
      <c r="E628" t="inlineStr">
        <is>
          <t>ÄLVSBYN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42723-2024</t>
        </is>
      </c>
      <c r="B629" s="1" t="n">
        <v>45566</v>
      </c>
      <c r="C629" s="1" t="n">
        <v>45795</v>
      </c>
      <c r="D629" t="inlineStr">
        <is>
          <t>NORRBOTTENS LÄN</t>
        </is>
      </c>
      <c r="E629" t="inlineStr">
        <is>
          <t>ÄLVSBYN</t>
        </is>
      </c>
      <c r="F629" t="inlineStr">
        <is>
          <t>Övriga Aktiebolag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42955-2024</t>
        </is>
      </c>
      <c r="B630" s="1" t="n">
        <v>45567</v>
      </c>
      <c r="C630" s="1" t="n">
        <v>45795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43775-2024</t>
        </is>
      </c>
      <c r="B631" s="1" t="n">
        <v>45570</v>
      </c>
      <c r="C631" s="1" t="n">
        <v>45795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43776-2024</t>
        </is>
      </c>
      <c r="B632" s="1" t="n">
        <v>45570</v>
      </c>
      <c r="C632" s="1" t="n">
        <v>45795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44365-2024</t>
        </is>
      </c>
      <c r="B633" s="1" t="n">
        <v>45573</v>
      </c>
      <c r="C633" s="1" t="n">
        <v>45795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44348-2024</t>
        </is>
      </c>
      <c r="B634" s="1" t="n">
        <v>45573</v>
      </c>
      <c r="C634" s="1" t="n">
        <v>45795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44213-2024</t>
        </is>
      </c>
      <c r="B635" s="1" t="n">
        <v>45573</v>
      </c>
      <c r="C635" s="1" t="n">
        <v>45795</v>
      </c>
      <c r="D635" t="inlineStr">
        <is>
          <t>NORRBOTTENS LÄN</t>
        </is>
      </c>
      <c r="E635" t="inlineStr">
        <is>
          <t>ÄLVSBYN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44629-2024</t>
        </is>
      </c>
      <c r="B636" s="1" t="n">
        <v>45574</v>
      </c>
      <c r="C636" s="1" t="n">
        <v>45795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45302-2024</t>
        </is>
      </c>
      <c r="B637" s="1" t="n">
        <v>45576</v>
      </c>
      <c r="C637" s="1" t="n">
        <v>45795</v>
      </c>
      <c r="D637" t="inlineStr">
        <is>
          <t>NORRBOTTENS LÄN</t>
        </is>
      </c>
      <c r="E637" t="inlineStr">
        <is>
          <t>ÄLVSBYN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45808-2024</t>
        </is>
      </c>
      <c r="B638" s="1" t="n">
        <v>45579</v>
      </c>
      <c r="C638" s="1" t="n">
        <v>45795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45724-2024</t>
        </is>
      </c>
      <c r="B639" s="1" t="n">
        <v>45579</v>
      </c>
      <c r="C639" s="1" t="n">
        <v>45795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45949-2024</t>
        </is>
      </c>
      <c r="B640" s="1" t="n">
        <v>45580</v>
      </c>
      <c r="C640" s="1" t="n">
        <v>45795</v>
      </c>
      <c r="D640" t="inlineStr">
        <is>
          <t>NORRBOTTENS LÄN</t>
        </is>
      </c>
      <c r="E640" t="inlineStr">
        <is>
          <t>ÄLVSBYN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46784-2024</t>
        </is>
      </c>
      <c r="B641" s="1" t="n">
        <v>45583</v>
      </c>
      <c r="C641" s="1" t="n">
        <v>45795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46838-2024</t>
        </is>
      </c>
      <c r="B642" s="1" t="n">
        <v>45583</v>
      </c>
      <c r="C642" s="1" t="n">
        <v>45795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46786-2024</t>
        </is>
      </c>
      <c r="B643" s="1" t="n">
        <v>45583</v>
      </c>
      <c r="C643" s="1" t="n">
        <v>45795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47370-2024</t>
        </is>
      </c>
      <c r="B644" s="1" t="n">
        <v>45587</v>
      </c>
      <c r="C644" s="1" t="n">
        <v>45795</v>
      </c>
      <c r="D644" t="inlineStr">
        <is>
          <t>NORRBOTTENS LÄN</t>
        </is>
      </c>
      <c r="E644" t="inlineStr">
        <is>
          <t>ÄLVSBYN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47394-2024</t>
        </is>
      </c>
      <c r="B645" s="1" t="n">
        <v>45587</v>
      </c>
      <c r="C645" s="1" t="n">
        <v>45795</v>
      </c>
      <c r="D645" t="inlineStr">
        <is>
          <t>NORRBOTTENS LÄN</t>
        </is>
      </c>
      <c r="E645" t="inlineStr">
        <is>
          <t>ÄLVSBYN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47373-2024</t>
        </is>
      </c>
      <c r="B646" s="1" t="n">
        <v>45587</v>
      </c>
      <c r="C646" s="1" t="n">
        <v>45795</v>
      </c>
      <c r="D646" t="inlineStr">
        <is>
          <t>NORRBOTTENS LÄN</t>
        </is>
      </c>
      <c r="E646" t="inlineStr">
        <is>
          <t>ÄLVSBYN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47369-2024</t>
        </is>
      </c>
      <c r="B647" s="1" t="n">
        <v>45587</v>
      </c>
      <c r="C647" s="1" t="n">
        <v>45795</v>
      </c>
      <c r="D647" t="inlineStr">
        <is>
          <t>NORRBOTTENS LÄN</t>
        </is>
      </c>
      <c r="E647" t="inlineStr">
        <is>
          <t>ÄLVSBYN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47371-2024</t>
        </is>
      </c>
      <c r="B648" s="1" t="n">
        <v>45587</v>
      </c>
      <c r="C648" s="1" t="n">
        <v>45795</v>
      </c>
      <c r="D648" t="inlineStr">
        <is>
          <t>NORRBOTTENS LÄN</t>
        </is>
      </c>
      <c r="E648" t="inlineStr">
        <is>
          <t>ÄLVSBYN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47372-2024</t>
        </is>
      </c>
      <c r="B649" s="1" t="n">
        <v>45587</v>
      </c>
      <c r="C649" s="1" t="n">
        <v>45795</v>
      </c>
      <c r="D649" t="inlineStr">
        <is>
          <t>NORRBOTTENS LÄN</t>
        </is>
      </c>
      <c r="E649" t="inlineStr">
        <is>
          <t>ÄLVSBYN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47752-2024</t>
        </is>
      </c>
      <c r="B650" s="1" t="n">
        <v>45588</v>
      </c>
      <c r="C650" s="1" t="n">
        <v>45795</v>
      </c>
      <c r="D650" t="inlineStr">
        <is>
          <t>NORRBOTTENS LÄN</t>
        </is>
      </c>
      <c r="E650" t="inlineStr">
        <is>
          <t>ÄLVSBYN</t>
        </is>
      </c>
      <c r="F650" t="inlineStr">
        <is>
          <t>Övriga Aktiebolag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47756-2024</t>
        </is>
      </c>
      <c r="B651" s="1" t="n">
        <v>45588</v>
      </c>
      <c r="C651" s="1" t="n">
        <v>45795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48835-2024</t>
        </is>
      </c>
      <c r="B652" s="1" t="n">
        <v>45593</v>
      </c>
      <c r="C652" s="1" t="n">
        <v>45795</v>
      </c>
      <c r="D652" t="inlineStr">
        <is>
          <t>NORRBOTTENS LÄN</t>
        </is>
      </c>
      <c r="E652" t="inlineStr">
        <is>
          <t>ÄLVSBYN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50310-2024</t>
        </is>
      </c>
      <c r="B653" s="1" t="n">
        <v>45600</v>
      </c>
      <c r="C653" s="1" t="n">
        <v>45795</v>
      </c>
      <c r="D653" t="inlineStr">
        <is>
          <t>NORRBOTTENS LÄN</t>
        </is>
      </c>
      <c r="E653" t="inlineStr">
        <is>
          <t>ÄLVSBYN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50598-2024</t>
        </is>
      </c>
      <c r="B654" s="1" t="n">
        <v>45601</v>
      </c>
      <c r="C654" s="1" t="n">
        <v>45795</v>
      </c>
      <c r="D654" t="inlineStr">
        <is>
          <t>NORRBOTTENS LÄN</t>
        </is>
      </c>
      <c r="E654" t="inlineStr">
        <is>
          <t>ÄLVSBYN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50596-2024</t>
        </is>
      </c>
      <c r="B655" s="1" t="n">
        <v>45601</v>
      </c>
      <c r="C655" s="1" t="n">
        <v>45795</v>
      </c>
      <c r="D655" t="inlineStr">
        <is>
          <t>NORRBOTTENS LÄN</t>
        </is>
      </c>
      <c r="E655" t="inlineStr">
        <is>
          <t>ÄLVSBYN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50672-2024</t>
        </is>
      </c>
      <c r="B656" s="1" t="n">
        <v>45601</v>
      </c>
      <c r="C656" s="1" t="n">
        <v>45795</v>
      </c>
      <c r="D656" t="inlineStr">
        <is>
          <t>NORRBOTTENS LÄN</t>
        </is>
      </c>
      <c r="E656" t="inlineStr">
        <is>
          <t>ÄLVSBYN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50597-2024</t>
        </is>
      </c>
      <c r="B657" s="1" t="n">
        <v>45601</v>
      </c>
      <c r="C657" s="1" t="n">
        <v>45795</v>
      </c>
      <c r="D657" t="inlineStr">
        <is>
          <t>NORRBOTTENS LÄN</t>
        </is>
      </c>
      <c r="E657" t="inlineStr">
        <is>
          <t>ÄLVSBYN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50595-2024</t>
        </is>
      </c>
      <c r="B658" s="1" t="n">
        <v>45601</v>
      </c>
      <c r="C658" s="1" t="n">
        <v>45795</v>
      </c>
      <c r="D658" t="inlineStr">
        <is>
          <t>NORRBOTTENS LÄN</t>
        </is>
      </c>
      <c r="E658" t="inlineStr">
        <is>
          <t>ÄLVSBYN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50989-2024</t>
        </is>
      </c>
      <c r="B659" s="1" t="n">
        <v>45603</v>
      </c>
      <c r="C659" s="1" t="n">
        <v>45795</v>
      </c>
      <c r="D659" t="inlineStr">
        <is>
          <t>NORRBOTTENS LÄN</t>
        </is>
      </c>
      <c r="E659" t="inlineStr">
        <is>
          <t>ÄLVSBYN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50970-2024</t>
        </is>
      </c>
      <c r="B660" s="1" t="n">
        <v>45603</v>
      </c>
      <c r="C660" s="1" t="n">
        <v>45795</v>
      </c>
      <c r="D660" t="inlineStr">
        <is>
          <t>NORRBOTTENS LÄN</t>
        </is>
      </c>
      <c r="E660" t="inlineStr">
        <is>
          <t>ÄLVSBYN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51051-2024</t>
        </is>
      </c>
      <c r="B661" s="1" t="n">
        <v>45603</v>
      </c>
      <c r="C661" s="1" t="n">
        <v>45795</v>
      </c>
      <c r="D661" t="inlineStr">
        <is>
          <t>NORRBOTTENS LÄN</t>
        </is>
      </c>
      <c r="E661" t="inlineStr">
        <is>
          <t>ÄLVSBYN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51975-2024</t>
        </is>
      </c>
      <c r="B662" s="1" t="n">
        <v>45607</v>
      </c>
      <c r="C662" s="1" t="n">
        <v>45795</v>
      </c>
      <c r="D662" t="inlineStr">
        <is>
          <t>NORRBOTTENS LÄN</t>
        </is>
      </c>
      <c r="E662" t="inlineStr">
        <is>
          <t>ÄLVSBYN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51684-2024</t>
        </is>
      </c>
      <c r="B663" s="1" t="n">
        <v>45607</v>
      </c>
      <c r="C663" s="1" t="n">
        <v>45795</v>
      </c>
      <c r="D663" t="inlineStr">
        <is>
          <t>NORRBOTTENS LÄN</t>
        </is>
      </c>
      <c r="E663" t="inlineStr">
        <is>
          <t>ÄLVSBYN</t>
        </is>
      </c>
      <c r="F663" t="inlineStr">
        <is>
          <t>Sveaskog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51808-2024</t>
        </is>
      </c>
      <c r="B664" s="1" t="n">
        <v>45607</v>
      </c>
      <c r="C664" s="1" t="n">
        <v>45795</v>
      </c>
      <c r="D664" t="inlineStr">
        <is>
          <t>NORRBOTTENS LÄN</t>
        </is>
      </c>
      <c r="E664" t="inlineStr">
        <is>
          <t>ÄLVSBYN</t>
        </is>
      </c>
      <c r="G664" t="n">
        <v>19.7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52907-2024</t>
        </is>
      </c>
      <c r="B665" s="1" t="n">
        <v>45610</v>
      </c>
      <c r="C665" s="1" t="n">
        <v>45795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54847-2024</t>
        </is>
      </c>
      <c r="B666" s="1" t="n">
        <v>45618</v>
      </c>
      <c r="C666" s="1" t="n">
        <v>45795</v>
      </c>
      <c r="D666" t="inlineStr">
        <is>
          <t>NORRBOTTENS LÄN</t>
        </is>
      </c>
      <c r="E666" t="inlineStr">
        <is>
          <t>ÄLVSBYN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54848-2024</t>
        </is>
      </c>
      <c r="B667" s="1" t="n">
        <v>45618</v>
      </c>
      <c r="C667" s="1" t="n">
        <v>45795</v>
      </c>
      <c r="D667" t="inlineStr">
        <is>
          <t>NORRBOTTENS LÄN</t>
        </is>
      </c>
      <c r="E667" t="inlineStr">
        <is>
          <t>ÄLVSBYN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55225-2024</t>
        </is>
      </c>
      <c r="B668" s="1" t="n">
        <v>45621</v>
      </c>
      <c r="C668" s="1" t="n">
        <v>45795</v>
      </c>
      <c r="D668" t="inlineStr">
        <is>
          <t>NORRBOTTENS LÄN</t>
        </is>
      </c>
      <c r="E668" t="inlineStr">
        <is>
          <t>ÄLVSBYN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55078-2024</t>
        </is>
      </c>
      <c r="B669" s="1" t="n">
        <v>45621</v>
      </c>
      <c r="C669" s="1" t="n">
        <v>45795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55181-2024</t>
        </is>
      </c>
      <c r="B670" s="1" t="n">
        <v>45621</v>
      </c>
      <c r="C670" s="1" t="n">
        <v>45795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55552-2024</t>
        </is>
      </c>
      <c r="B671" s="1" t="n">
        <v>45622</v>
      </c>
      <c r="C671" s="1" t="n">
        <v>45795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55798-2024</t>
        </is>
      </c>
      <c r="B672" s="1" t="n">
        <v>45623</v>
      </c>
      <c r="C672" s="1" t="n">
        <v>45795</v>
      </c>
      <c r="D672" t="inlineStr">
        <is>
          <t>NORRBOTTENS LÄN</t>
        </is>
      </c>
      <c r="E672" t="inlineStr">
        <is>
          <t>ÄLVSBYN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55960-2024</t>
        </is>
      </c>
      <c r="B673" s="1" t="n">
        <v>45623</v>
      </c>
      <c r="C673" s="1" t="n">
        <v>45795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56230-2024</t>
        </is>
      </c>
      <c r="B674" s="1" t="n">
        <v>45624</v>
      </c>
      <c r="C674" s="1" t="n">
        <v>45795</v>
      </c>
      <c r="D674" t="inlineStr">
        <is>
          <t>NORRBOTTENS LÄN</t>
        </is>
      </c>
      <c r="E674" t="inlineStr">
        <is>
          <t>ÄLVSBYN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56951-2024</t>
        </is>
      </c>
      <c r="B675" s="1" t="n">
        <v>45628</v>
      </c>
      <c r="C675" s="1" t="n">
        <v>45795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23.8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57138-2024</t>
        </is>
      </c>
      <c r="B676" s="1" t="n">
        <v>45629</v>
      </c>
      <c r="C676" s="1" t="n">
        <v>45795</v>
      </c>
      <c r="D676" t="inlineStr">
        <is>
          <t>NORRBOTTENS LÄN</t>
        </is>
      </c>
      <c r="E676" t="inlineStr">
        <is>
          <t>ÄLVSBYN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57139-2024</t>
        </is>
      </c>
      <c r="B677" s="1" t="n">
        <v>45629</v>
      </c>
      <c r="C677" s="1" t="n">
        <v>45795</v>
      </c>
      <c r="D677" t="inlineStr">
        <is>
          <t>NORRBOTTENS LÄN</t>
        </is>
      </c>
      <c r="E677" t="inlineStr">
        <is>
          <t>ÄLVSBYN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58007-2024</t>
        </is>
      </c>
      <c r="B678" s="1" t="n">
        <v>45631</v>
      </c>
      <c r="C678" s="1" t="n">
        <v>45795</v>
      </c>
      <c r="D678" t="inlineStr">
        <is>
          <t>NORRBOTTENS LÄN</t>
        </is>
      </c>
      <c r="E678" t="inlineStr">
        <is>
          <t>ÄLVSBYN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58317-2024</t>
        </is>
      </c>
      <c r="B679" s="1" t="n">
        <v>45632</v>
      </c>
      <c r="C679" s="1" t="n">
        <v>45795</v>
      </c>
      <c r="D679" t="inlineStr">
        <is>
          <t>NORRBOTTENS LÄN</t>
        </is>
      </c>
      <c r="E679" t="inlineStr">
        <is>
          <t>ÄLVSBYN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58243-2024</t>
        </is>
      </c>
      <c r="B680" s="1" t="n">
        <v>45632</v>
      </c>
      <c r="C680" s="1" t="n">
        <v>45795</v>
      </c>
      <c r="D680" t="inlineStr">
        <is>
          <t>NORRBOTTENS LÄN</t>
        </is>
      </c>
      <c r="E680" t="inlineStr">
        <is>
          <t>ÄLVSBYN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45795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45795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45795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58263-2024</t>
        </is>
      </c>
      <c r="B684" s="1" t="n">
        <v>45632</v>
      </c>
      <c r="C684" s="1" t="n">
        <v>45795</v>
      </c>
      <c r="D684" t="inlineStr">
        <is>
          <t>NORRBOTTENS LÄN</t>
        </is>
      </c>
      <c r="E684" t="inlineStr">
        <is>
          <t>ÄLVSBYN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58315-2024</t>
        </is>
      </c>
      <c r="B685" s="1" t="n">
        <v>45632</v>
      </c>
      <c r="C685" s="1" t="n">
        <v>45795</v>
      </c>
      <c r="D685" t="inlineStr">
        <is>
          <t>NORRBOTTENS LÄN</t>
        </is>
      </c>
      <c r="E685" t="inlineStr">
        <is>
          <t>ÄLVSBYN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58321-2024</t>
        </is>
      </c>
      <c r="B686" s="1" t="n">
        <v>45632</v>
      </c>
      <c r="C686" s="1" t="n">
        <v>45795</v>
      </c>
      <c r="D686" t="inlineStr">
        <is>
          <t>NORRBOTTENS LÄN</t>
        </is>
      </c>
      <c r="E686" t="inlineStr">
        <is>
          <t>ÄLVSBYN</t>
        </is>
      </c>
      <c r="G686" t="n">
        <v>22.1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58266-2024</t>
        </is>
      </c>
      <c r="B687" s="1" t="n">
        <v>45632</v>
      </c>
      <c r="C687" s="1" t="n">
        <v>45795</v>
      </c>
      <c r="D687" t="inlineStr">
        <is>
          <t>NORRBOTTENS LÄN</t>
        </is>
      </c>
      <c r="E687" t="inlineStr">
        <is>
          <t>ÄLVSBYN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58309-2024</t>
        </is>
      </c>
      <c r="B688" s="1" t="n">
        <v>45632</v>
      </c>
      <c r="C688" s="1" t="n">
        <v>45795</v>
      </c>
      <c r="D688" t="inlineStr">
        <is>
          <t>NORRBOTTENS LÄN</t>
        </is>
      </c>
      <c r="E688" t="inlineStr">
        <is>
          <t>ÄLVSBYN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58438-2024</t>
        </is>
      </c>
      <c r="B689" s="1" t="n">
        <v>45635</v>
      </c>
      <c r="C689" s="1" t="n">
        <v>45795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14.5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59181-2024</t>
        </is>
      </c>
      <c r="B690" s="1" t="n">
        <v>45637</v>
      </c>
      <c r="C690" s="1" t="n">
        <v>45795</v>
      </c>
      <c r="D690" t="inlineStr">
        <is>
          <t>NORRBOTTENS LÄN</t>
        </is>
      </c>
      <c r="E690" t="inlineStr">
        <is>
          <t>ÄLVSBYN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59180-2024</t>
        </is>
      </c>
      <c r="B691" s="1" t="n">
        <v>45637</v>
      </c>
      <c r="C691" s="1" t="n">
        <v>45795</v>
      </c>
      <c r="D691" t="inlineStr">
        <is>
          <t>NORRBOTTENS LÄN</t>
        </is>
      </c>
      <c r="E691" t="inlineStr">
        <is>
          <t>ÄLVSBYN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59826-2024</t>
        </is>
      </c>
      <c r="B692" s="1" t="n">
        <v>45639</v>
      </c>
      <c r="C692" s="1" t="n">
        <v>45795</v>
      </c>
      <c r="D692" t="inlineStr">
        <is>
          <t>NORRBOTTENS LÄN</t>
        </is>
      </c>
      <c r="E692" t="inlineStr">
        <is>
          <t>ÄLVSBYN</t>
        </is>
      </c>
      <c r="F692" t="inlineStr">
        <is>
          <t>Övriga Aktiebolag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59950-2024</t>
        </is>
      </c>
      <c r="B693" s="1" t="n">
        <v>45642</v>
      </c>
      <c r="C693" s="1" t="n">
        <v>45795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60773-2024</t>
        </is>
      </c>
      <c r="B694" s="1" t="n">
        <v>45644</v>
      </c>
      <c r="C694" s="1" t="n">
        <v>45795</v>
      </c>
      <c r="D694" t="inlineStr">
        <is>
          <t>NORRBOTTENS LÄN</t>
        </is>
      </c>
      <c r="E694" t="inlineStr">
        <is>
          <t>ÄLVSBYN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60726-2024</t>
        </is>
      </c>
      <c r="B695" s="1" t="n">
        <v>45644</v>
      </c>
      <c r="C695" s="1" t="n">
        <v>45795</v>
      </c>
      <c r="D695" t="inlineStr">
        <is>
          <t>NORRBOTTENS LÄN</t>
        </is>
      </c>
      <c r="E695" t="inlineStr">
        <is>
          <t>ÄLVSBYN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60785-2024</t>
        </is>
      </c>
      <c r="B696" s="1" t="n">
        <v>45644</v>
      </c>
      <c r="C696" s="1" t="n">
        <v>45795</v>
      </c>
      <c r="D696" t="inlineStr">
        <is>
          <t>NORRBOTTENS LÄN</t>
        </is>
      </c>
      <c r="E696" t="inlineStr">
        <is>
          <t>ÄLVSBYN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61619-2024</t>
        </is>
      </c>
      <c r="B697" s="1" t="n">
        <v>45646</v>
      </c>
      <c r="C697" s="1" t="n">
        <v>45795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1554-2025</t>
        </is>
      </c>
      <c r="B698" s="1" t="n">
        <v>45670</v>
      </c>
      <c r="C698" s="1" t="n">
        <v>45795</v>
      </c>
      <c r="D698" t="inlineStr">
        <is>
          <t>NORRBOTTENS LÄN</t>
        </is>
      </c>
      <c r="E698" t="inlineStr">
        <is>
          <t>ÄLVSBYN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3038-2025</t>
        </is>
      </c>
      <c r="B699" s="1" t="n">
        <v>45678</v>
      </c>
      <c r="C699" s="1" t="n">
        <v>45795</v>
      </c>
      <c r="D699" t="inlineStr">
        <is>
          <t>NORRBOTTENS LÄN</t>
        </is>
      </c>
      <c r="E699" t="inlineStr">
        <is>
          <t>ÄLVSBYN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3168-2025</t>
        </is>
      </c>
      <c r="B700" s="1" t="n">
        <v>45679</v>
      </c>
      <c r="C700" s="1" t="n">
        <v>45795</v>
      </c>
      <c r="D700" t="inlineStr">
        <is>
          <t>NORRBOTTENS LÄN</t>
        </is>
      </c>
      <c r="E700" t="inlineStr">
        <is>
          <t>ÄLVSBYN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3445-2025</t>
        </is>
      </c>
      <c r="B701" s="1" t="n">
        <v>45680</v>
      </c>
      <c r="C701" s="1" t="n">
        <v>45795</v>
      </c>
      <c r="D701" t="inlineStr">
        <is>
          <t>NORRBOTTENS LÄN</t>
        </is>
      </c>
      <c r="E701" t="inlineStr">
        <is>
          <t>ÄLVSBYN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4929-2025</t>
        </is>
      </c>
      <c r="B702" s="1" t="n">
        <v>45688</v>
      </c>
      <c r="C702" s="1" t="n">
        <v>45795</v>
      </c>
      <c r="D702" t="inlineStr">
        <is>
          <t>NORRBOTTENS LÄN</t>
        </is>
      </c>
      <c r="E702" t="inlineStr">
        <is>
          <t>ÄLVSBYN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4928-2025</t>
        </is>
      </c>
      <c r="B703" s="1" t="n">
        <v>45688</v>
      </c>
      <c r="C703" s="1" t="n">
        <v>45795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5069-2025</t>
        </is>
      </c>
      <c r="B704" s="1" t="n">
        <v>45691</v>
      </c>
      <c r="C704" s="1" t="n">
        <v>45795</v>
      </c>
      <c r="D704" t="inlineStr">
        <is>
          <t>NORRBOTTENS LÄN</t>
        </is>
      </c>
      <c r="E704" t="inlineStr">
        <is>
          <t>ÄLVSBYN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5062-2025</t>
        </is>
      </c>
      <c r="B705" s="1" t="n">
        <v>45691</v>
      </c>
      <c r="C705" s="1" t="n">
        <v>45795</v>
      </c>
      <c r="D705" t="inlineStr">
        <is>
          <t>NORRBOTTENS LÄN</t>
        </is>
      </c>
      <c r="E705" t="inlineStr">
        <is>
          <t>ÄLVSBYN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8334-2025</t>
        </is>
      </c>
      <c r="B706" s="1" t="n">
        <v>45708</v>
      </c>
      <c r="C706" s="1" t="n">
        <v>45795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8382-2025</t>
        </is>
      </c>
      <c r="B707" s="1" t="n">
        <v>45709</v>
      </c>
      <c r="C707" s="1" t="n">
        <v>45795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8550-2025</t>
        </is>
      </c>
      <c r="B708" s="1" t="n">
        <v>45709</v>
      </c>
      <c r="C708" s="1" t="n">
        <v>45795</v>
      </c>
      <c r="D708" t="inlineStr">
        <is>
          <t>NORRBOTTENS LÄN</t>
        </is>
      </c>
      <c r="E708" t="inlineStr">
        <is>
          <t>ÄLVSBYN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8554-2025</t>
        </is>
      </c>
      <c r="B709" s="1" t="n">
        <v>45709</v>
      </c>
      <c r="C709" s="1" t="n">
        <v>45795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8549-2025</t>
        </is>
      </c>
      <c r="B710" s="1" t="n">
        <v>45709</v>
      </c>
      <c r="C710" s="1" t="n">
        <v>45795</v>
      </c>
      <c r="D710" t="inlineStr">
        <is>
          <t>NORRBOTTENS LÄN</t>
        </is>
      </c>
      <c r="E710" t="inlineStr">
        <is>
          <t>ÄLVSBYN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8553-2025</t>
        </is>
      </c>
      <c r="B711" s="1" t="n">
        <v>45709</v>
      </c>
      <c r="C711" s="1" t="n">
        <v>45795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8552-2025</t>
        </is>
      </c>
      <c r="B712" s="1" t="n">
        <v>45709</v>
      </c>
      <c r="C712" s="1" t="n">
        <v>45795</v>
      </c>
      <c r="D712" t="inlineStr">
        <is>
          <t>NORRBOTTENS LÄN</t>
        </is>
      </c>
      <c r="E712" t="inlineStr">
        <is>
          <t>ÄLVSBYN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8551-2025</t>
        </is>
      </c>
      <c r="B713" s="1" t="n">
        <v>45709</v>
      </c>
      <c r="C713" s="1" t="n">
        <v>45795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8741-2025</t>
        </is>
      </c>
      <c r="B714" s="1" t="n">
        <v>45712</v>
      </c>
      <c r="C714" s="1" t="n">
        <v>45795</v>
      </c>
      <c r="D714" t="inlineStr">
        <is>
          <t>NORRBOTTENS LÄN</t>
        </is>
      </c>
      <c r="E714" t="inlineStr">
        <is>
          <t>ÄLVSBYN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8742-2025</t>
        </is>
      </c>
      <c r="B715" s="1" t="n">
        <v>45712</v>
      </c>
      <c r="C715" s="1" t="n">
        <v>45795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8740-2025</t>
        </is>
      </c>
      <c r="B716" s="1" t="n">
        <v>45712</v>
      </c>
      <c r="C716" s="1" t="n">
        <v>45795</v>
      </c>
      <c r="D716" t="inlineStr">
        <is>
          <t>NORRBOTTENS LÄN</t>
        </is>
      </c>
      <c r="E716" t="inlineStr">
        <is>
          <t>ÄLVSBYN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9886-2025</t>
        </is>
      </c>
      <c r="B717" s="1" t="n">
        <v>45716</v>
      </c>
      <c r="C717" s="1" t="n">
        <v>45795</v>
      </c>
      <c r="D717" t="inlineStr">
        <is>
          <t>NORRBOTTENS LÄN</t>
        </is>
      </c>
      <c r="E717" t="inlineStr">
        <is>
          <t>ÄLVSBYN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10269-2025</t>
        </is>
      </c>
      <c r="B718" s="1" t="n">
        <v>45720</v>
      </c>
      <c r="C718" s="1" t="n">
        <v>45795</v>
      </c>
      <c r="D718" t="inlineStr">
        <is>
          <t>NORRBOTTENS LÄN</t>
        </is>
      </c>
      <c r="E718" t="inlineStr">
        <is>
          <t>ÄLVSBYN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12613-2025</t>
        </is>
      </c>
      <c r="B719" s="1" t="n">
        <v>45733</v>
      </c>
      <c r="C719" s="1" t="n">
        <v>45795</v>
      </c>
      <c r="D719" t="inlineStr">
        <is>
          <t>NORRBOTTENS LÄN</t>
        </is>
      </c>
      <c r="E719" t="inlineStr">
        <is>
          <t>ÄLVSBYN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13368-2025</t>
        </is>
      </c>
      <c r="B720" s="1" t="n">
        <v>45735</v>
      </c>
      <c r="C720" s="1" t="n">
        <v>45795</v>
      </c>
      <c r="D720" t="inlineStr">
        <is>
          <t>NORRBOTTENS LÄN</t>
        </is>
      </c>
      <c r="E720" t="inlineStr">
        <is>
          <t>ÄLVSBYN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13329-2025</t>
        </is>
      </c>
      <c r="B721" s="1" t="n">
        <v>45735</v>
      </c>
      <c r="C721" s="1" t="n">
        <v>45795</v>
      </c>
      <c r="D721" t="inlineStr">
        <is>
          <t>NORRBOTTENS LÄN</t>
        </is>
      </c>
      <c r="E721" t="inlineStr">
        <is>
          <t>ÄLVSBYN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14449-2025</t>
        </is>
      </c>
      <c r="B722" s="1" t="n">
        <v>45741</v>
      </c>
      <c r="C722" s="1" t="n">
        <v>45795</v>
      </c>
      <c r="D722" t="inlineStr">
        <is>
          <t>NORRBOTTENS LÄN</t>
        </is>
      </c>
      <c r="E722" t="inlineStr">
        <is>
          <t>ÄLVSBYN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15180-2025</t>
        </is>
      </c>
      <c r="B723" s="1" t="n">
        <v>45744</v>
      </c>
      <c r="C723" s="1" t="n">
        <v>45795</v>
      </c>
      <c r="D723" t="inlineStr">
        <is>
          <t>NORRBOTTENS LÄN</t>
        </is>
      </c>
      <c r="E723" t="inlineStr">
        <is>
          <t>ÄLVSBYN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15389-2025</t>
        </is>
      </c>
      <c r="B724" s="1" t="n">
        <v>45747</v>
      </c>
      <c r="C724" s="1" t="n">
        <v>45795</v>
      </c>
      <c r="D724" t="inlineStr">
        <is>
          <t>NORRBOTTENS LÄN</t>
        </is>
      </c>
      <c r="E724" t="inlineStr">
        <is>
          <t>ÄLVSBYN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15628-2025</t>
        </is>
      </c>
      <c r="B725" s="1" t="n">
        <v>45748</v>
      </c>
      <c r="C725" s="1" t="n">
        <v>45795</v>
      </c>
      <c r="D725" t="inlineStr">
        <is>
          <t>NORRBOTTENS LÄN</t>
        </is>
      </c>
      <c r="E725" t="inlineStr">
        <is>
          <t>ÄLVSBYN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16473-2025</t>
        </is>
      </c>
      <c r="B726" s="1" t="n">
        <v>45751</v>
      </c>
      <c r="C726" s="1" t="n">
        <v>45795</v>
      </c>
      <c r="D726" t="inlineStr">
        <is>
          <t>NORRBOTTENS LÄN</t>
        </is>
      </c>
      <c r="E726" t="inlineStr">
        <is>
          <t>ÄLVSBYN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18093-2025</t>
        </is>
      </c>
      <c r="B727" s="1" t="n">
        <v>45761</v>
      </c>
      <c r="C727" s="1" t="n">
        <v>45795</v>
      </c>
      <c r="D727" t="inlineStr">
        <is>
          <t>NORRBOTTENS LÄN</t>
        </is>
      </c>
      <c r="E727" t="inlineStr">
        <is>
          <t>ÄLVSBYN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18090-2025</t>
        </is>
      </c>
      <c r="B728" s="1" t="n">
        <v>45761</v>
      </c>
      <c r="C728" s="1" t="n">
        <v>45795</v>
      </c>
      <c r="D728" t="inlineStr">
        <is>
          <t>NORRBOTTENS LÄN</t>
        </is>
      </c>
      <c r="E728" t="inlineStr">
        <is>
          <t>ÄLVSBYN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18958-2025</t>
        </is>
      </c>
      <c r="B729" s="1" t="n">
        <v>45764</v>
      </c>
      <c r="C729" s="1" t="n">
        <v>45795</v>
      </c>
      <c r="D729" t="inlineStr">
        <is>
          <t>NORRBOTTENS LÄN</t>
        </is>
      </c>
      <c r="E729" t="inlineStr">
        <is>
          <t>ÄLVSBYN</t>
        </is>
      </c>
      <c r="G729" t="n">
        <v>16.1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19562-2025</t>
        </is>
      </c>
      <c r="B730" s="1" t="n">
        <v>45770</v>
      </c>
      <c r="C730" s="1" t="n">
        <v>45795</v>
      </c>
      <c r="D730" t="inlineStr">
        <is>
          <t>NORRBOTTENS LÄN</t>
        </is>
      </c>
      <c r="E730" t="inlineStr">
        <is>
          <t>ÄLVSBYN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19563-2025</t>
        </is>
      </c>
      <c r="B731" s="1" t="n">
        <v>45770</v>
      </c>
      <c r="C731" s="1" t="n">
        <v>45795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20237-2025</t>
        </is>
      </c>
      <c r="B732" s="1" t="n">
        <v>45772</v>
      </c>
      <c r="C732" s="1" t="n">
        <v>45795</v>
      </c>
      <c r="D732" t="inlineStr">
        <is>
          <t>NORRBOTTENS LÄN</t>
        </is>
      </c>
      <c r="E732" t="inlineStr">
        <is>
          <t>ÄLVSBYN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20166-2025</t>
        </is>
      </c>
      <c r="B733" s="1" t="n">
        <v>45772</v>
      </c>
      <c r="C733" s="1" t="n">
        <v>45795</v>
      </c>
      <c r="D733" t="inlineStr">
        <is>
          <t>NORRBOTTENS LÄN</t>
        </is>
      </c>
      <c r="E733" t="inlineStr">
        <is>
          <t>ÄLVSBYN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20158-2025</t>
        </is>
      </c>
      <c r="B734" s="1" t="n">
        <v>45772</v>
      </c>
      <c r="C734" s="1" t="n">
        <v>45795</v>
      </c>
      <c r="D734" t="inlineStr">
        <is>
          <t>NORRBOTTENS LÄN</t>
        </is>
      </c>
      <c r="E734" t="inlineStr">
        <is>
          <t>ÄLVSBYN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20179-2025</t>
        </is>
      </c>
      <c r="B735" s="1" t="n">
        <v>45772</v>
      </c>
      <c r="C735" s="1" t="n">
        <v>45795</v>
      </c>
      <c r="D735" t="inlineStr">
        <is>
          <t>NORRBOTTENS LÄN</t>
        </is>
      </c>
      <c r="E735" t="inlineStr">
        <is>
          <t>ÄLVSBYN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45795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45795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20753-2025</t>
        </is>
      </c>
      <c r="B738" s="1" t="n">
        <v>45776</v>
      </c>
      <c r="C738" s="1" t="n">
        <v>45795</v>
      </c>
      <c r="D738" t="inlineStr">
        <is>
          <t>NORRBOTTENS LÄN</t>
        </is>
      </c>
      <c r="E738" t="inlineStr">
        <is>
          <t>ÄLVSBYN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20879-2025</t>
        </is>
      </c>
      <c r="B739" s="1" t="n">
        <v>45777</v>
      </c>
      <c r="C739" s="1" t="n">
        <v>45795</v>
      </c>
      <c r="D739" t="inlineStr">
        <is>
          <t>NORRBOTTENS LÄN</t>
        </is>
      </c>
      <c r="E739" t="inlineStr">
        <is>
          <t>ÄLVSBYN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21990-2025</t>
        </is>
      </c>
      <c r="B740" s="1" t="n">
        <v>45784</v>
      </c>
      <c r="C740" s="1" t="n">
        <v>45795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23172-2025</t>
        </is>
      </c>
      <c r="B741" s="1" t="n">
        <v>45791</v>
      </c>
      <c r="C741" s="1" t="n">
        <v>45795</v>
      </c>
      <c r="D741" t="inlineStr">
        <is>
          <t>NORRBOTTENS LÄN</t>
        </is>
      </c>
      <c r="E741" t="inlineStr">
        <is>
          <t>ÄLVSBYN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23150-2025</t>
        </is>
      </c>
      <c r="B742" s="1" t="n">
        <v>45791</v>
      </c>
      <c r="C742" s="1" t="n">
        <v>45795</v>
      </c>
      <c r="D742" t="inlineStr">
        <is>
          <t>NORRBOTTENS LÄN</t>
        </is>
      </c>
      <c r="E742" t="inlineStr">
        <is>
          <t>ÄLVSBYN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23336-2025</t>
        </is>
      </c>
      <c r="B743" s="1" t="n">
        <v>45791</v>
      </c>
      <c r="C743" s="1" t="n">
        <v>45795</v>
      </c>
      <c r="D743" t="inlineStr">
        <is>
          <t>NORRBOTTENS LÄN</t>
        </is>
      </c>
      <c r="E743" t="inlineStr">
        <is>
          <t>ÄLVSBYN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45795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23404-2025</t>
        </is>
      </c>
      <c r="B745" s="1" t="n">
        <v>45792</v>
      </c>
      <c r="C745" s="1" t="n">
        <v>45795</v>
      </c>
      <c r="D745" t="inlineStr">
        <is>
          <t>NORRBOTTENS LÄN</t>
        </is>
      </c>
      <c r="E745" t="inlineStr">
        <is>
          <t>ÄLVSBYN</t>
        </is>
      </c>
      <c r="F745" t="inlineStr">
        <is>
          <t>SCA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23411-2025</t>
        </is>
      </c>
      <c r="B746" s="1" t="n">
        <v>45792</v>
      </c>
      <c r="C746" s="1" t="n">
        <v>45795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23597-2025</t>
        </is>
      </c>
      <c r="B747" s="1" t="n">
        <v>45792</v>
      </c>
      <c r="C747" s="1" t="n">
        <v>45795</v>
      </c>
      <c r="D747" t="inlineStr">
        <is>
          <t>NORRBOTTENS LÄN</t>
        </is>
      </c>
      <c r="E747" t="inlineStr">
        <is>
          <t>ÄLVSBYN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23790-2025</t>
        </is>
      </c>
      <c r="B748" s="1" t="n">
        <v>45793</v>
      </c>
      <c r="C748" s="1" t="n">
        <v>45795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2025-05-18T17:21:42Z</dcterms:created>
  <dcterms:modified xmlns:dcterms="http://purl.org/dc/terms/" xmlns:xsi="http://www.w3.org/2001/XMLSchema-instance" xsi:type="dcterms:W3CDTF">2025-05-18T17:21:43Z</dcterms:modified>
</cp:coreProperties>
</file>