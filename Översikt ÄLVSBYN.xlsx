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46134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46134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46134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40118-2025</t>
        </is>
      </c>
      <c r="B5" s="1" t="n">
        <v>45894</v>
      </c>
      <c r="C5" s="1" t="n">
        <v>46134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24.3</v>
      </c>
      <c r="H5" t="n">
        <v>5</v>
      </c>
      <c r="I5" t="n">
        <v>6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15</v>
      </c>
      <c r="R5" s="2" t="inlineStr">
        <is>
          <t>Knärot
Garnlav
Järpe
Lunglav
Vaddporing
Vedskivlav
Bårdlav
Dropptaggsvamp
Luddlav
Mörk husmossa
Stor aspticka
Stuplav
Lavskrika
Vanlig groda
Revlummer</t>
        </is>
      </c>
      <c r="S5">
        <f>HYPERLINK("https://klasma.github.io/Logging_2560/artfynd/A 40118-2025 artfynd.xlsx", "A 40118-2025")</f>
        <v/>
      </c>
      <c r="T5">
        <f>HYPERLINK("https://klasma.github.io/Logging_2560/kartor/A 40118-2025 karta.png", "A 40118-2025")</f>
        <v/>
      </c>
      <c r="U5">
        <f>HYPERLINK("https://klasma.github.io/Logging_2560/knärot/A 40118-2025 karta knärot.png", "A 40118-2025")</f>
        <v/>
      </c>
      <c r="V5">
        <f>HYPERLINK("https://klasma.github.io/Logging_2560/klagomål/A 40118-2025 FSC-klagomål.docx", "A 40118-2025")</f>
        <v/>
      </c>
      <c r="W5">
        <f>HYPERLINK("https://klasma.github.io/Logging_2560/klagomålsmail/A 40118-2025 FSC-klagomål mail.docx", "A 40118-2025")</f>
        <v/>
      </c>
      <c r="X5">
        <f>HYPERLINK("https://klasma.github.io/Logging_2560/tillsyn/A 40118-2025 tillsynsbegäran.docx", "A 40118-2025")</f>
        <v/>
      </c>
      <c r="Y5">
        <f>HYPERLINK("https://klasma.github.io/Logging_2560/tillsynsmail/A 40118-2025 tillsynsbegäran mail.docx", "A 40118-2025")</f>
        <v/>
      </c>
      <c r="Z5">
        <f>HYPERLINK("https://klasma.github.io/Logging_2560/fåglar/A 40118-2025 prioriterade fågelarter.docx", "A 40118-2025")</f>
        <v/>
      </c>
    </row>
    <row r="6" ht="15" customHeight="1">
      <c r="A6" t="inlineStr">
        <is>
          <t>A 18646-2024</t>
        </is>
      </c>
      <c r="B6" s="1" t="n">
        <v>45425</v>
      </c>
      <c r="C6" s="1" t="n">
        <v>46134</v>
      </c>
      <c r="D6" t="inlineStr">
        <is>
          <t>NORRBOTTENS LÄN</t>
        </is>
      </c>
      <c r="E6" t="inlineStr">
        <is>
          <t>ÄLVSBYN</t>
        </is>
      </c>
      <c r="F6" t="inlineStr">
        <is>
          <t>SCA</t>
        </is>
      </c>
      <c r="G6" t="n">
        <v>2.6</v>
      </c>
      <c r="H6" t="n">
        <v>3</v>
      </c>
      <c r="I6" t="n">
        <v>4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15</v>
      </c>
      <c r="R6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6">
        <f>HYPERLINK("https://klasma.github.io/Logging_2560/artfynd/A 18646-2024 artfynd.xlsx", "A 18646-2024")</f>
        <v/>
      </c>
      <c r="T6">
        <f>HYPERLINK("https://klasma.github.io/Logging_2560/kartor/A 18646-2024 karta.png", "A 18646-2024")</f>
        <v/>
      </c>
      <c r="V6">
        <f>HYPERLINK("https://klasma.github.io/Logging_2560/klagomål/A 18646-2024 FSC-klagomål.docx", "A 18646-2024")</f>
        <v/>
      </c>
      <c r="W6">
        <f>HYPERLINK("https://klasma.github.io/Logging_2560/klagomålsmail/A 18646-2024 FSC-klagomål mail.docx", "A 18646-2024")</f>
        <v/>
      </c>
      <c r="X6">
        <f>HYPERLINK("https://klasma.github.io/Logging_2560/tillsyn/A 18646-2024 tillsynsbegäran.docx", "A 18646-2024")</f>
        <v/>
      </c>
      <c r="Y6">
        <f>HYPERLINK("https://klasma.github.io/Logging_2560/tillsynsmail/A 18646-2024 tillsynsbegäran mail.docx", "A 18646-2024")</f>
        <v/>
      </c>
      <c r="Z6">
        <f>HYPERLINK("https://klasma.github.io/Logging_2560/fåglar/A 18646-2024 prioriterade fågelarter.docx", "A 18646-2024")</f>
        <v/>
      </c>
    </row>
    <row r="7" ht="15" customHeight="1">
      <c r="A7" t="inlineStr">
        <is>
          <t>A 45432-2025</t>
        </is>
      </c>
      <c r="B7" s="1" t="n">
        <v>45922.46042824074</v>
      </c>
      <c r="C7" s="1" t="n">
        <v>46134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11.9</v>
      </c>
      <c r="H7" t="n">
        <v>6</v>
      </c>
      <c r="I7" t="n">
        <v>3</v>
      </c>
      <c r="J7" t="n">
        <v>7</v>
      </c>
      <c r="K7" t="n">
        <v>3</v>
      </c>
      <c r="L7" t="n">
        <v>0</v>
      </c>
      <c r="M7" t="n">
        <v>0</v>
      </c>
      <c r="N7" t="n">
        <v>0</v>
      </c>
      <c r="O7" t="n">
        <v>10</v>
      </c>
      <c r="P7" t="n">
        <v>3</v>
      </c>
      <c r="Q7" t="n">
        <v>15</v>
      </c>
      <c r="R7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7">
        <f>HYPERLINK("https://klasma.github.io/Logging_2560/artfynd/A 45432-2025 artfynd.xlsx", "A 45432-2025")</f>
        <v/>
      </c>
      <c r="T7">
        <f>HYPERLINK("https://klasma.github.io/Logging_2560/kartor/A 45432-2025 karta.png", "A 45432-2025")</f>
        <v/>
      </c>
      <c r="U7">
        <f>HYPERLINK("https://klasma.github.io/Logging_2560/knärot/A 45432-2025 karta knärot.png", "A 45432-2025")</f>
        <v/>
      </c>
      <c r="V7">
        <f>HYPERLINK("https://klasma.github.io/Logging_2560/klagomål/A 45432-2025 FSC-klagomål.docx", "A 45432-2025")</f>
        <v/>
      </c>
      <c r="W7">
        <f>HYPERLINK("https://klasma.github.io/Logging_2560/klagomålsmail/A 45432-2025 FSC-klagomål mail.docx", "A 45432-2025")</f>
        <v/>
      </c>
      <c r="X7">
        <f>HYPERLINK("https://klasma.github.io/Logging_2560/tillsyn/A 45432-2025 tillsynsbegäran.docx", "A 45432-2025")</f>
        <v/>
      </c>
      <c r="Y7">
        <f>HYPERLINK("https://klasma.github.io/Logging_2560/tillsynsmail/A 45432-2025 tillsynsbegäran mail.docx", "A 45432-2025")</f>
        <v/>
      </c>
      <c r="Z7">
        <f>HYPERLINK("https://klasma.github.io/Logging_2560/fåglar/A 45432-2025 prioriterade fågelarter.docx", "A 45432-2025")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46134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46134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46134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46134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46134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46134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22563-2025</t>
        </is>
      </c>
      <c r="B14" s="1" t="n">
        <v>45789</v>
      </c>
      <c r="C14" s="1" t="n">
        <v>46134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21</v>
      </c>
      <c r="H14" t="n">
        <v>0</v>
      </c>
      <c r="I14" t="n">
        <v>2</v>
      </c>
      <c r="J14" t="n">
        <v>6</v>
      </c>
      <c r="K14" t="n">
        <v>3</v>
      </c>
      <c r="L14" t="n">
        <v>0</v>
      </c>
      <c r="M14" t="n">
        <v>0</v>
      </c>
      <c r="N14" t="n">
        <v>0</v>
      </c>
      <c r="O14" t="n">
        <v>9</v>
      </c>
      <c r="P14" t="n">
        <v>3</v>
      </c>
      <c r="Q14" t="n">
        <v>11</v>
      </c>
      <c r="R14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4">
        <f>HYPERLINK("https://klasma.github.io/Logging_2560/artfynd/A 22563-2025 artfynd.xlsx", "A 22563-2025")</f>
        <v/>
      </c>
      <c r="T14">
        <f>HYPERLINK("https://klasma.github.io/Logging_2560/kartor/A 22563-2025 karta.png", "A 22563-2025")</f>
        <v/>
      </c>
      <c r="V14">
        <f>HYPERLINK("https://klasma.github.io/Logging_2560/klagomål/A 22563-2025 FSC-klagomål.docx", "A 22563-2025")</f>
        <v/>
      </c>
      <c r="W14">
        <f>HYPERLINK("https://klasma.github.io/Logging_2560/klagomålsmail/A 22563-2025 FSC-klagomål mail.docx", "A 22563-2025")</f>
        <v/>
      </c>
      <c r="X14">
        <f>HYPERLINK("https://klasma.github.io/Logging_2560/tillsyn/A 22563-2025 tillsynsbegäran.docx", "A 22563-2025")</f>
        <v/>
      </c>
      <c r="Y14">
        <f>HYPERLINK("https://klasma.github.io/Logging_2560/tillsynsmail/A 22563-2025 tillsynsbegäran mail.docx", "A 22563-2025")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46134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49930-2025</t>
        </is>
      </c>
      <c r="B16" s="1" t="n">
        <v>45940.65670138889</v>
      </c>
      <c r="C16" s="1" t="n">
        <v>46134</v>
      </c>
      <c r="D16" t="inlineStr">
        <is>
          <t>NORRBOTTENS LÄN</t>
        </is>
      </c>
      <c r="E16" t="inlineStr">
        <is>
          <t>ÄLVSBYN</t>
        </is>
      </c>
      <c r="F16" t="inlineStr">
        <is>
          <t>SCA</t>
        </is>
      </c>
      <c r="G16" t="n">
        <v>4.6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Lammticka
Gammelgransskål
Garnlav
Granticka
Järpe
Vaddporing
Vedticka
Revlummer</t>
        </is>
      </c>
      <c r="S16">
        <f>HYPERLINK("https://klasma.github.io/Logging_2560/artfynd/A 49930-2025 artfynd.xlsx", "A 49930-2025")</f>
        <v/>
      </c>
      <c r="T16">
        <f>HYPERLINK("https://klasma.github.io/Logging_2560/kartor/A 49930-2025 karta.png", "A 49930-2025")</f>
        <v/>
      </c>
      <c r="U16">
        <f>HYPERLINK("https://klasma.github.io/Logging_2560/knärot/A 49930-2025 karta knärot.png", "A 49930-2025")</f>
        <v/>
      </c>
      <c r="V16">
        <f>HYPERLINK("https://klasma.github.io/Logging_2560/klagomål/A 49930-2025 FSC-klagomål.docx", "A 49930-2025")</f>
        <v/>
      </c>
      <c r="W16">
        <f>HYPERLINK("https://klasma.github.io/Logging_2560/klagomålsmail/A 49930-2025 FSC-klagomål mail.docx", "A 49930-2025")</f>
        <v/>
      </c>
      <c r="X16">
        <f>HYPERLINK("https://klasma.github.io/Logging_2560/tillsyn/A 49930-2025 tillsynsbegäran.docx", "A 49930-2025")</f>
        <v/>
      </c>
      <c r="Y16">
        <f>HYPERLINK("https://klasma.github.io/Logging_2560/tillsynsmail/A 49930-2025 tillsynsbegäran mail.docx", "A 49930-2025")</f>
        <v/>
      </c>
      <c r="Z16">
        <f>HYPERLINK("https://klasma.github.io/Logging_2560/fåglar/A 49930-2025 prioriterade fågelarter.docx", "A 49930-2025")</f>
        <v/>
      </c>
    </row>
    <row r="17" ht="15" customHeight="1">
      <c r="A17" t="inlineStr">
        <is>
          <t>A 49843-2021</t>
        </is>
      </c>
      <c r="B17" s="1" t="n">
        <v>44455</v>
      </c>
      <c r="C17" s="1" t="n">
        <v>46134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Kolflarnlav
Lunglav
Vedskivlav
Bårdlav
Plattlummer
Skinnlav
Stuplav</t>
        </is>
      </c>
      <c r="S17">
        <f>HYPERLINK("https://klasma.github.io/Logging_2560/artfynd/A 49843-2021 artfynd.xlsx", "A 49843-2021")</f>
        <v/>
      </c>
      <c r="T17">
        <f>HYPERLINK("https://klasma.github.io/Logging_2560/kartor/A 49843-2021 karta.png", "A 49843-2021")</f>
        <v/>
      </c>
      <c r="V17">
        <f>HYPERLINK("https://klasma.github.io/Logging_2560/klagomål/A 49843-2021 FSC-klagomål.docx", "A 49843-2021")</f>
        <v/>
      </c>
      <c r="W17">
        <f>HYPERLINK("https://klasma.github.io/Logging_2560/klagomålsmail/A 49843-2021 FSC-klagomål mail.docx", "A 49843-2021")</f>
        <v/>
      </c>
      <c r="X17">
        <f>HYPERLINK("https://klasma.github.io/Logging_2560/tillsyn/A 49843-2021 tillsynsbegäran.docx", "A 49843-2021")</f>
        <v/>
      </c>
      <c r="Y17">
        <f>HYPERLINK("https://klasma.github.io/Logging_2560/tillsynsmail/A 49843-2021 tillsynsbegäran mail.docx", "A 49843-2021")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46134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45421-2025</t>
        </is>
      </c>
      <c r="B19" s="1" t="n">
        <v>45922.45040509259</v>
      </c>
      <c r="C19" s="1" t="n">
        <v>46134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5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Kolflarnlav
Mörk kolflarnlav
Nordtagging
Tallticka
Vaddporing
Vitplätt
Dropptaggsvamp</t>
        </is>
      </c>
      <c r="S19">
        <f>HYPERLINK("https://klasma.github.io/Logging_2560/artfynd/A 45421-2025 artfynd.xlsx", "A 45421-2025")</f>
        <v/>
      </c>
      <c r="T19">
        <f>HYPERLINK("https://klasma.github.io/Logging_2560/kartor/A 45421-2025 karta.png", "A 45421-2025")</f>
        <v/>
      </c>
      <c r="V19">
        <f>HYPERLINK("https://klasma.github.io/Logging_2560/klagomål/A 45421-2025 FSC-klagomål.docx", "A 45421-2025")</f>
        <v/>
      </c>
      <c r="W19">
        <f>HYPERLINK("https://klasma.github.io/Logging_2560/klagomålsmail/A 45421-2025 FSC-klagomål mail.docx", "A 45421-2025")</f>
        <v/>
      </c>
      <c r="X19">
        <f>HYPERLINK("https://klasma.github.io/Logging_2560/tillsyn/A 45421-2025 tillsynsbegäran.docx", "A 45421-2025")</f>
        <v/>
      </c>
      <c r="Y19">
        <f>HYPERLINK("https://klasma.github.io/Logging_2560/tillsynsmail/A 45421-2025 tillsynsbegäran mail.docx", "A 45421-2025")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46134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46134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46134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46134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46134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46134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28582-2025</t>
        </is>
      </c>
      <c r="B26" s="1" t="n">
        <v>45819</v>
      </c>
      <c r="C26" s="1" t="n">
        <v>46134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26.1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Plattlummer</t>
        </is>
      </c>
      <c r="S26">
        <f>HYPERLINK("https://klasma.github.io/Logging_2560/artfynd/A 28582-2025 artfynd.xlsx", "A 28582-2025")</f>
        <v/>
      </c>
      <c r="T26">
        <f>HYPERLINK("https://klasma.github.io/Logging_2560/kartor/A 28582-2025 karta.png", "A 28582-2025")</f>
        <v/>
      </c>
      <c r="V26">
        <f>HYPERLINK("https://klasma.github.io/Logging_2560/klagomål/A 28582-2025 FSC-klagomål.docx", "A 28582-2025")</f>
        <v/>
      </c>
      <c r="W26">
        <f>HYPERLINK("https://klasma.github.io/Logging_2560/klagomålsmail/A 28582-2025 FSC-klagomål mail.docx", "A 28582-2025")</f>
        <v/>
      </c>
      <c r="X26">
        <f>HYPERLINK("https://klasma.github.io/Logging_2560/tillsyn/A 28582-2025 tillsynsbegäran.docx", "A 28582-2025")</f>
        <v/>
      </c>
      <c r="Y26">
        <f>HYPERLINK("https://klasma.github.io/Logging_2560/tillsynsmail/A 28582-2025 tillsynsbegäran mail.docx", "A 28582-2025")</f>
        <v/>
      </c>
    </row>
    <row r="27" ht="15" customHeight="1">
      <c r="A27" t="inlineStr">
        <is>
          <t>A 53643-2025</t>
        </is>
      </c>
      <c r="B27" s="1" t="n">
        <v>45960.51373842593</v>
      </c>
      <c r="C27" s="1" t="n">
        <v>46134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3.4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Blå taggsvamp
Tallriska
Dropptaggsvamp
Skarp dropptaggsvamp</t>
        </is>
      </c>
      <c r="S27">
        <f>HYPERLINK("https://klasma.github.io/Logging_2560/artfynd/A 53643-2025 artfynd.xlsx", "A 53643-2025")</f>
        <v/>
      </c>
      <c r="T27">
        <f>HYPERLINK("https://klasma.github.io/Logging_2560/kartor/A 53643-2025 karta.png", "A 53643-2025")</f>
        <v/>
      </c>
      <c r="V27">
        <f>HYPERLINK("https://klasma.github.io/Logging_2560/klagomål/A 53643-2025 FSC-klagomål.docx", "A 53643-2025")</f>
        <v/>
      </c>
      <c r="W27">
        <f>HYPERLINK("https://klasma.github.io/Logging_2560/klagomålsmail/A 53643-2025 FSC-klagomål mail.docx", "A 53643-2025")</f>
        <v/>
      </c>
      <c r="X27">
        <f>HYPERLINK("https://klasma.github.io/Logging_2560/tillsyn/A 53643-2025 tillsynsbegäran.docx", "A 53643-2025")</f>
        <v/>
      </c>
      <c r="Y27">
        <f>HYPERLINK("https://klasma.github.io/Logging_2560/tillsynsmail/A 53643-2025 tillsynsbegäran mail.docx", "A 53643-2025")</f>
        <v/>
      </c>
    </row>
    <row r="28" ht="15" customHeight="1">
      <c r="A28" t="inlineStr">
        <is>
          <t>A 11477-2022</t>
        </is>
      </c>
      <c r="B28" s="1" t="n">
        <v>44630.92287037037</v>
      </c>
      <c r="C28" s="1" t="n">
        <v>46134</v>
      </c>
      <c r="D28" t="inlineStr">
        <is>
          <t>NORRBOTTENS LÄN</t>
        </is>
      </c>
      <c r="E28" t="inlineStr">
        <is>
          <t>ÄLVSBYN</t>
        </is>
      </c>
      <c r="G28" t="n">
        <v>8.699999999999999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Talltita
Ögonpyrola
Revlummer</t>
        </is>
      </c>
      <c r="S28">
        <f>HYPERLINK("https://klasma.github.io/Logging_2560/artfynd/A 11477-2022 artfynd.xlsx", "A 11477-2022")</f>
        <v/>
      </c>
      <c r="T28">
        <f>HYPERLINK("https://klasma.github.io/Logging_2560/kartor/A 11477-2022 karta.png", "A 11477-2022")</f>
        <v/>
      </c>
      <c r="V28">
        <f>HYPERLINK("https://klasma.github.io/Logging_2560/klagomål/A 11477-2022 FSC-klagomål.docx", "A 11477-2022")</f>
        <v/>
      </c>
      <c r="W28">
        <f>HYPERLINK("https://klasma.github.io/Logging_2560/klagomålsmail/A 11477-2022 FSC-klagomål mail.docx", "A 11477-2022")</f>
        <v/>
      </c>
      <c r="X28">
        <f>HYPERLINK("https://klasma.github.io/Logging_2560/tillsyn/A 11477-2022 tillsynsbegäran.docx", "A 11477-2022")</f>
        <v/>
      </c>
      <c r="Y28">
        <f>HYPERLINK("https://klasma.github.io/Logging_2560/tillsynsmail/A 11477-2022 tillsynsbegäran mail.docx", "A 11477-2022")</f>
        <v/>
      </c>
      <c r="Z28">
        <f>HYPERLINK("https://klasma.github.io/Logging_2560/fåglar/A 11477-2022 prioriterade fågelarter.docx", "A 11477-2022")</f>
        <v/>
      </c>
    </row>
    <row r="29" ht="15" customHeight="1">
      <c r="A29" t="inlineStr">
        <is>
          <t>A 55870-2024</t>
        </is>
      </c>
      <c r="B29" s="1" t="n">
        <v>45622</v>
      </c>
      <c r="C29" s="1" t="n">
        <v>46134</v>
      </c>
      <c r="D29" t="inlineStr">
        <is>
          <t>NORRBOTTENS LÄN</t>
        </is>
      </c>
      <c r="E29" t="inlineStr">
        <is>
          <t>ÄLVSBYN</t>
        </is>
      </c>
      <c r="G29" t="n">
        <v>20</v>
      </c>
      <c r="H29" t="n">
        <v>3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Lappranunkel
Spindelblomster
Spädstarr</t>
        </is>
      </c>
      <c r="S29">
        <f>HYPERLINK("https://klasma.github.io/Logging_2560/artfynd/A 55870-2024 artfynd.xlsx", "A 55870-2024")</f>
        <v/>
      </c>
      <c r="T29">
        <f>HYPERLINK("https://klasma.github.io/Logging_2560/kartor/A 55870-2024 karta.png", "A 55870-2024")</f>
        <v/>
      </c>
      <c r="U29">
        <f>HYPERLINK("https://klasma.github.io/Logging_2560/knärot/A 55870-2024 karta knärot.png", "A 55870-2024")</f>
        <v/>
      </c>
      <c r="V29">
        <f>HYPERLINK("https://klasma.github.io/Logging_2560/klagomål/A 55870-2024 FSC-klagomål.docx", "A 55870-2024")</f>
        <v/>
      </c>
      <c r="W29">
        <f>HYPERLINK("https://klasma.github.io/Logging_2560/klagomålsmail/A 55870-2024 FSC-klagomål mail.docx", "A 55870-2024")</f>
        <v/>
      </c>
      <c r="X29">
        <f>HYPERLINK("https://klasma.github.io/Logging_2560/tillsyn/A 55870-2024 tillsynsbegäran.docx", "A 55870-2024")</f>
        <v/>
      </c>
      <c r="Y29">
        <f>HYPERLINK("https://klasma.github.io/Logging_2560/tillsynsmail/A 55870-2024 tillsynsbegäran mail.docx", "A 55870-2024")</f>
        <v/>
      </c>
    </row>
    <row r="30" ht="15" customHeight="1">
      <c r="A30" t="inlineStr">
        <is>
          <t>A 22862-2025</t>
        </is>
      </c>
      <c r="B30" s="1" t="n">
        <v>45790.3622337963</v>
      </c>
      <c r="C30" s="1" t="n">
        <v>46134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18.7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Kolflarnlav
Orange taggsvamp
Dropptaggsvamp
Skarp dropptaggsvamp</t>
        </is>
      </c>
      <c r="S30">
        <f>HYPERLINK("https://klasma.github.io/Logging_2560/artfynd/A 22862-2025 artfynd.xlsx", "A 22862-2025")</f>
        <v/>
      </c>
      <c r="T30">
        <f>HYPERLINK("https://klasma.github.io/Logging_2560/kartor/A 22862-2025 karta.png", "A 22862-2025")</f>
        <v/>
      </c>
      <c r="V30">
        <f>HYPERLINK("https://klasma.github.io/Logging_2560/klagomål/A 22862-2025 FSC-klagomål.docx", "A 22862-2025")</f>
        <v/>
      </c>
      <c r="W30">
        <f>HYPERLINK("https://klasma.github.io/Logging_2560/klagomålsmail/A 22862-2025 FSC-klagomål mail.docx", "A 22862-2025")</f>
        <v/>
      </c>
      <c r="X30">
        <f>HYPERLINK("https://klasma.github.io/Logging_2560/tillsyn/A 22862-2025 tillsynsbegäran.docx", "A 22862-2025")</f>
        <v/>
      </c>
      <c r="Y30">
        <f>HYPERLINK("https://klasma.github.io/Logging_2560/tillsynsmail/A 22862-2025 tillsynsbegäran mail.docx", "A 22862-2025")</f>
        <v/>
      </c>
    </row>
    <row r="31" ht="15" customHeight="1">
      <c r="A31" t="inlineStr">
        <is>
          <t>A 53641-2025</t>
        </is>
      </c>
      <c r="B31" s="1" t="n">
        <v>45960</v>
      </c>
      <c r="C31" s="1" t="n">
        <v>46134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4.7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Orange taggsvamp
Dropptaggsvamp
Skarp dropptaggsvamp</t>
        </is>
      </c>
      <c r="S31">
        <f>HYPERLINK("https://klasma.github.io/Logging_2560/artfynd/A 53641-2025 artfynd.xlsx", "A 53641-2025")</f>
        <v/>
      </c>
      <c r="T31">
        <f>HYPERLINK("https://klasma.github.io/Logging_2560/kartor/A 53641-2025 karta.png", "A 53641-2025")</f>
        <v/>
      </c>
      <c r="V31">
        <f>HYPERLINK("https://klasma.github.io/Logging_2560/klagomål/A 53641-2025 FSC-klagomål.docx", "A 53641-2025")</f>
        <v/>
      </c>
      <c r="W31">
        <f>HYPERLINK("https://klasma.github.io/Logging_2560/klagomålsmail/A 53641-2025 FSC-klagomål mail.docx", "A 53641-2025")</f>
        <v/>
      </c>
      <c r="X31">
        <f>HYPERLINK("https://klasma.github.io/Logging_2560/tillsyn/A 53641-2025 tillsynsbegäran.docx", "A 53641-2025")</f>
        <v/>
      </c>
      <c r="Y31">
        <f>HYPERLINK("https://klasma.github.io/Logging_2560/tillsynsmail/A 53641-2025 tillsynsbegäran mail.docx", "A 53641-2025")</f>
        <v/>
      </c>
    </row>
    <row r="32" ht="15" customHeight="1">
      <c r="A32" t="inlineStr">
        <is>
          <t>A 34304-2025</t>
        </is>
      </c>
      <c r="B32" s="1" t="n">
        <v>45846.35324074074</v>
      </c>
      <c r="C32" s="1" t="n">
        <v>46134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35.7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Fläcknycklar
Revlummer</t>
        </is>
      </c>
      <c r="S32">
        <f>HYPERLINK("https://klasma.github.io/Logging_2560/artfynd/A 34304-2025 artfynd.xlsx", "A 34304-2025")</f>
        <v/>
      </c>
      <c r="T32">
        <f>HYPERLINK("https://klasma.github.io/Logging_2560/kartor/A 34304-2025 karta.png", "A 34304-2025")</f>
        <v/>
      </c>
      <c r="V32">
        <f>HYPERLINK("https://klasma.github.io/Logging_2560/klagomål/A 34304-2025 FSC-klagomål.docx", "A 34304-2025")</f>
        <v/>
      </c>
      <c r="W32">
        <f>HYPERLINK("https://klasma.github.io/Logging_2560/klagomålsmail/A 34304-2025 FSC-klagomål mail.docx", "A 34304-2025")</f>
        <v/>
      </c>
      <c r="X32">
        <f>HYPERLINK("https://klasma.github.io/Logging_2560/tillsyn/A 34304-2025 tillsynsbegäran.docx", "A 34304-2025")</f>
        <v/>
      </c>
      <c r="Y32">
        <f>HYPERLINK("https://klasma.github.io/Logging_2560/tillsynsmail/A 34304-2025 tillsynsbegäran mail.docx", "A 34304-2025")</f>
        <v/>
      </c>
    </row>
    <row r="33" ht="15" customHeight="1">
      <c r="A33" t="inlineStr">
        <is>
          <t>A 50156-2024</t>
        </is>
      </c>
      <c r="B33" s="1" t="n">
        <v>45600.46027777778</v>
      </c>
      <c r="C33" s="1" t="n">
        <v>46134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9.9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Kolflarnlav
Vaddporing
Dropptaggsvamp</t>
        </is>
      </c>
      <c r="S33">
        <f>HYPERLINK("https://klasma.github.io/Logging_2560/artfynd/A 50156-2024 artfynd.xlsx", "A 50156-2024")</f>
        <v/>
      </c>
      <c r="T33">
        <f>HYPERLINK("https://klasma.github.io/Logging_2560/kartor/A 50156-2024 karta.png", "A 50156-2024")</f>
        <v/>
      </c>
      <c r="V33">
        <f>HYPERLINK("https://klasma.github.io/Logging_2560/klagomål/A 50156-2024 FSC-klagomål.docx", "A 50156-2024")</f>
        <v/>
      </c>
      <c r="W33">
        <f>HYPERLINK("https://klasma.github.io/Logging_2560/klagomålsmail/A 50156-2024 FSC-klagomål mail.docx", "A 50156-2024")</f>
        <v/>
      </c>
      <c r="X33">
        <f>HYPERLINK("https://klasma.github.io/Logging_2560/tillsyn/A 50156-2024 tillsynsbegäran.docx", "A 50156-2024")</f>
        <v/>
      </c>
      <c r="Y33">
        <f>HYPERLINK("https://klasma.github.io/Logging_2560/tillsynsmail/A 50156-2024 tillsynsbegäran mail.docx", "A 50156-2024")</f>
        <v/>
      </c>
    </row>
    <row r="34" ht="15" customHeight="1">
      <c r="A34" t="inlineStr">
        <is>
          <t>A 60133-2025</t>
        </is>
      </c>
      <c r="B34" s="1" t="n">
        <v>45994</v>
      </c>
      <c r="C34" s="1" t="n">
        <v>46134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Blå taggsvamp
Kolflarnlav
Tallticka</t>
        </is>
      </c>
      <c r="S34">
        <f>HYPERLINK("https://klasma.github.io/Logging_2560/artfynd/A 60133-2025 artfynd.xlsx", "A 60133-2025")</f>
        <v/>
      </c>
      <c r="T34">
        <f>HYPERLINK("https://klasma.github.io/Logging_2560/kartor/A 60133-2025 karta.png", "A 60133-2025")</f>
        <v/>
      </c>
      <c r="V34">
        <f>HYPERLINK("https://klasma.github.io/Logging_2560/klagomål/A 60133-2025 FSC-klagomål.docx", "A 60133-2025")</f>
        <v/>
      </c>
      <c r="W34">
        <f>HYPERLINK("https://klasma.github.io/Logging_2560/klagomålsmail/A 60133-2025 FSC-klagomål mail.docx", "A 60133-2025")</f>
        <v/>
      </c>
      <c r="X34">
        <f>HYPERLINK("https://klasma.github.io/Logging_2560/tillsyn/A 60133-2025 tillsynsbegäran.docx", "A 60133-2025")</f>
        <v/>
      </c>
      <c r="Y34">
        <f>HYPERLINK("https://klasma.github.io/Logging_2560/tillsynsmail/A 60133-2025 tillsynsbegäran mail.docx", "A 60133-2025")</f>
        <v/>
      </c>
    </row>
    <row r="35" ht="15" customHeight="1">
      <c r="A35" t="inlineStr">
        <is>
          <t>A 45316-2024</t>
        </is>
      </c>
      <c r="B35" s="1" t="n">
        <v>45576</v>
      </c>
      <c r="C35" s="1" t="n">
        <v>46134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12.2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Dropptaggsvamp
Stuplav</t>
        </is>
      </c>
      <c r="S35">
        <f>HYPERLINK("https://klasma.github.io/Logging_2560/artfynd/A 45316-2024 artfynd.xlsx", "A 45316-2024")</f>
        <v/>
      </c>
      <c r="T35">
        <f>HYPERLINK("https://klasma.github.io/Logging_2560/kartor/A 45316-2024 karta.png", "A 45316-2024")</f>
        <v/>
      </c>
      <c r="V35">
        <f>HYPERLINK("https://klasma.github.io/Logging_2560/klagomål/A 45316-2024 FSC-klagomål.docx", "A 45316-2024")</f>
        <v/>
      </c>
      <c r="W35">
        <f>HYPERLINK("https://klasma.github.io/Logging_2560/klagomålsmail/A 45316-2024 FSC-klagomål mail.docx", "A 45316-2024")</f>
        <v/>
      </c>
      <c r="X35">
        <f>HYPERLINK("https://klasma.github.io/Logging_2560/tillsyn/A 45316-2024 tillsynsbegäran.docx", "A 45316-2024")</f>
        <v/>
      </c>
      <c r="Y35">
        <f>HYPERLINK("https://klasma.github.io/Logging_2560/tillsynsmail/A 45316-2024 tillsynsbegäran mail.docx", "A 45316-2024")</f>
        <v/>
      </c>
    </row>
    <row r="36" ht="15" customHeight="1">
      <c r="A36" t="inlineStr">
        <is>
          <t>A 44733-2024</t>
        </is>
      </c>
      <c r="B36" s="1" t="n">
        <v>45574</v>
      </c>
      <c r="C36" s="1" t="n">
        <v>46134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2.9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Rosenticka
Dropptaggsvamp</t>
        </is>
      </c>
      <c r="S36">
        <f>HYPERLINK("https://klasma.github.io/Logging_2560/artfynd/A 44733-2024 artfynd.xlsx", "A 44733-2024")</f>
        <v/>
      </c>
      <c r="T36">
        <f>HYPERLINK("https://klasma.github.io/Logging_2560/kartor/A 44733-2024 karta.png", "A 44733-2024")</f>
        <v/>
      </c>
      <c r="V36">
        <f>HYPERLINK("https://klasma.github.io/Logging_2560/klagomål/A 44733-2024 FSC-klagomål.docx", "A 44733-2024")</f>
        <v/>
      </c>
      <c r="W36">
        <f>HYPERLINK("https://klasma.github.io/Logging_2560/klagomålsmail/A 44733-2024 FSC-klagomål mail.docx", "A 44733-2024")</f>
        <v/>
      </c>
      <c r="X36">
        <f>HYPERLINK("https://klasma.github.io/Logging_2560/tillsyn/A 44733-2024 tillsynsbegäran.docx", "A 44733-2024")</f>
        <v/>
      </c>
      <c r="Y36">
        <f>HYPERLINK("https://klasma.github.io/Logging_2560/tillsynsmail/A 44733-2024 tillsynsbegäran mail.docx", "A 44733-2024")</f>
        <v/>
      </c>
    </row>
    <row r="37" ht="15" customHeight="1">
      <c r="A37" t="inlineStr">
        <is>
          <t>A 59618-2023</t>
        </is>
      </c>
      <c r="B37" s="1" t="n">
        <v>45254</v>
      </c>
      <c r="C37" s="1" t="n">
        <v>46134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26.3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Kolflarnlav
Svart taggsvamp agg.
Dropptaggsvamp</t>
        </is>
      </c>
      <c r="S37">
        <f>HYPERLINK("https://klasma.github.io/Logging_2560/artfynd/A 59618-2023 artfynd.xlsx", "A 59618-2023")</f>
        <v/>
      </c>
      <c r="T37">
        <f>HYPERLINK("https://klasma.github.io/Logging_2560/kartor/A 59618-2023 karta.png", "A 59618-2023")</f>
        <v/>
      </c>
      <c r="V37">
        <f>HYPERLINK("https://klasma.github.io/Logging_2560/klagomål/A 59618-2023 FSC-klagomål.docx", "A 59618-2023")</f>
        <v/>
      </c>
      <c r="W37">
        <f>HYPERLINK("https://klasma.github.io/Logging_2560/klagomålsmail/A 59618-2023 FSC-klagomål mail.docx", "A 59618-2023")</f>
        <v/>
      </c>
      <c r="X37">
        <f>HYPERLINK("https://klasma.github.io/Logging_2560/tillsyn/A 59618-2023 tillsynsbegäran.docx", "A 59618-2023")</f>
        <v/>
      </c>
      <c r="Y37">
        <f>HYPERLINK("https://klasma.github.io/Logging_2560/tillsynsmail/A 59618-2023 tillsynsbegäran mail.docx", "A 59618-2023")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46134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23134-2024</t>
        </is>
      </c>
      <c r="B39" s="1" t="n">
        <v>45450</v>
      </c>
      <c r="C39" s="1" t="n">
        <v>46134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27.4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23134-2024 artfynd.xlsx", "A 23134-2024")</f>
        <v/>
      </c>
      <c r="T39">
        <f>HYPERLINK("https://klasma.github.io/Logging_2560/kartor/A 23134-2024 karta.png", "A 23134-2024")</f>
        <v/>
      </c>
      <c r="V39">
        <f>HYPERLINK("https://klasma.github.io/Logging_2560/klagomål/A 23134-2024 FSC-klagomål.docx", "A 23134-2024")</f>
        <v/>
      </c>
      <c r="W39">
        <f>HYPERLINK("https://klasma.github.io/Logging_2560/klagomålsmail/A 23134-2024 FSC-klagomål mail.docx", "A 23134-2024")</f>
        <v/>
      </c>
      <c r="X39">
        <f>HYPERLINK("https://klasma.github.io/Logging_2560/tillsyn/A 23134-2024 tillsynsbegäran.docx", "A 23134-2024")</f>
        <v/>
      </c>
      <c r="Y39">
        <f>HYPERLINK("https://klasma.github.io/Logging_2560/tillsynsmail/A 23134-2024 tillsynsbegäran mail.docx", "A 23134-2024")</f>
        <v/>
      </c>
    </row>
    <row r="40" ht="15" customHeight="1">
      <c r="A40" t="inlineStr">
        <is>
          <t>A 51703-2025</t>
        </is>
      </c>
      <c r="B40" s="1" t="n">
        <v>45951</v>
      </c>
      <c r="C40" s="1" t="n">
        <v>46134</v>
      </c>
      <c r="D40" t="inlineStr">
        <is>
          <t>NORRBOTTENS LÄN</t>
        </is>
      </c>
      <c r="E40" t="inlineStr">
        <is>
          <t>ÄLVSBYN</t>
        </is>
      </c>
      <c r="G40" t="n">
        <v>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Mörk kolflarnlav</t>
        </is>
      </c>
      <c r="S40">
        <f>HYPERLINK("https://klasma.github.io/Logging_2560/artfynd/A 51703-2025 artfynd.xlsx", "A 51703-2025")</f>
        <v/>
      </c>
      <c r="T40">
        <f>HYPERLINK("https://klasma.github.io/Logging_2560/kartor/A 51703-2025 karta.png", "A 51703-2025")</f>
        <v/>
      </c>
      <c r="V40">
        <f>HYPERLINK("https://klasma.github.io/Logging_2560/klagomål/A 51703-2025 FSC-klagomål.docx", "A 51703-2025")</f>
        <v/>
      </c>
      <c r="W40">
        <f>HYPERLINK("https://klasma.github.io/Logging_2560/klagomålsmail/A 51703-2025 FSC-klagomål mail.docx", "A 51703-2025")</f>
        <v/>
      </c>
      <c r="X40">
        <f>HYPERLINK("https://klasma.github.io/Logging_2560/tillsyn/A 51703-2025 tillsynsbegäran.docx", "A 51703-2025")</f>
        <v/>
      </c>
      <c r="Y40">
        <f>HYPERLINK("https://klasma.github.io/Logging_2560/tillsynsmail/A 51703-2025 tillsynsbegäran mail.docx", "A 51703-2025")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46134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28555-2025</t>
        </is>
      </c>
      <c r="B42" s="1" t="n">
        <v>45819</v>
      </c>
      <c r="C42" s="1" t="n">
        <v>46134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40.5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Lunglav</t>
        </is>
      </c>
      <c r="S42">
        <f>HYPERLINK("https://klasma.github.io/Logging_2560/artfynd/A 28555-2025 artfynd.xlsx", "A 28555-2025")</f>
        <v/>
      </c>
      <c r="T42">
        <f>HYPERLINK("https://klasma.github.io/Logging_2560/kartor/A 28555-2025 karta.png", "A 28555-2025")</f>
        <v/>
      </c>
      <c r="V42">
        <f>HYPERLINK("https://klasma.github.io/Logging_2560/klagomål/A 28555-2025 FSC-klagomål.docx", "A 28555-2025")</f>
        <v/>
      </c>
      <c r="W42">
        <f>HYPERLINK("https://klasma.github.io/Logging_2560/klagomålsmail/A 28555-2025 FSC-klagomål mail.docx", "A 28555-2025")</f>
        <v/>
      </c>
      <c r="X42">
        <f>HYPERLINK("https://klasma.github.io/Logging_2560/tillsyn/A 28555-2025 tillsynsbegäran.docx", "A 28555-2025")</f>
        <v/>
      </c>
      <c r="Y42">
        <f>HYPERLINK("https://klasma.github.io/Logging_2560/tillsynsmail/A 28555-2025 tillsynsbegäran mail.docx", "A 28555-2025")</f>
        <v/>
      </c>
    </row>
    <row r="43" ht="15" customHeight="1">
      <c r="A43" t="inlineStr">
        <is>
          <t>A 47982-2025</t>
        </is>
      </c>
      <c r="B43" s="1" t="n">
        <v>45932.61603009259</v>
      </c>
      <c r="C43" s="1" t="n">
        <v>46134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40.5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Lunglav</t>
        </is>
      </c>
      <c r="S43">
        <f>HYPERLINK("https://klasma.github.io/Logging_2560/artfynd/A 47982-2025 artfynd.xlsx", "A 47982-2025")</f>
        <v/>
      </c>
      <c r="T43">
        <f>HYPERLINK("https://klasma.github.io/Logging_2560/kartor/A 47982-2025 karta.png", "A 47982-2025")</f>
        <v/>
      </c>
      <c r="V43">
        <f>HYPERLINK("https://klasma.github.io/Logging_2560/klagomål/A 47982-2025 FSC-klagomål.docx", "A 47982-2025")</f>
        <v/>
      </c>
      <c r="W43">
        <f>HYPERLINK("https://klasma.github.io/Logging_2560/klagomålsmail/A 47982-2025 FSC-klagomål mail.docx", "A 47982-2025")</f>
        <v/>
      </c>
      <c r="X43">
        <f>HYPERLINK("https://klasma.github.io/Logging_2560/tillsyn/A 47982-2025 tillsynsbegäran.docx", "A 47982-2025")</f>
        <v/>
      </c>
      <c r="Y43">
        <f>HYPERLINK("https://klasma.github.io/Logging_2560/tillsynsmail/A 47982-2025 tillsynsbegäran mail.docx", "A 47982-2025")</f>
        <v/>
      </c>
    </row>
    <row r="44" ht="15" customHeight="1">
      <c r="A44" t="inlineStr">
        <is>
          <t>A 50430-2025</t>
        </is>
      </c>
      <c r="B44" s="1" t="n">
        <v>45944</v>
      </c>
      <c r="C44" s="1" t="n">
        <v>46134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5.2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HYPERLINK("https://klasma.github.io/Logging_2560/artfynd/A 50430-2025 artfynd.xlsx", "A 50430-2025")</f>
        <v/>
      </c>
      <c r="T44">
        <f>HYPERLINK("https://klasma.github.io/Logging_2560/kartor/A 50430-2025 karta.png", "A 50430-2025")</f>
        <v/>
      </c>
      <c r="V44">
        <f>HYPERLINK("https://klasma.github.io/Logging_2560/klagomål/A 50430-2025 FSC-klagomål.docx", "A 50430-2025")</f>
        <v/>
      </c>
      <c r="W44">
        <f>HYPERLINK("https://klasma.github.io/Logging_2560/klagomålsmail/A 50430-2025 FSC-klagomål mail.docx", "A 50430-2025")</f>
        <v/>
      </c>
      <c r="X44">
        <f>HYPERLINK("https://klasma.github.io/Logging_2560/tillsyn/A 50430-2025 tillsynsbegäran.docx", "A 50430-2025")</f>
        <v/>
      </c>
      <c r="Y44">
        <f>HYPERLINK("https://klasma.github.io/Logging_2560/tillsynsmail/A 50430-2025 tillsynsbegäran mail.docx", "A 50430-2025")</f>
        <v/>
      </c>
    </row>
    <row r="45" ht="15" customHeight="1">
      <c r="A45" t="inlineStr">
        <is>
          <t>A 57390-2025</t>
        </is>
      </c>
      <c r="B45" s="1" t="n">
        <v>45980</v>
      </c>
      <c r="C45" s="1" t="n">
        <v>46134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Kolflarnlav
Skarp dropptaggsvamp</t>
        </is>
      </c>
      <c r="S45">
        <f>HYPERLINK("https://klasma.github.io/Logging_2560/artfynd/A 57390-2025 artfynd.xlsx", "A 57390-2025")</f>
        <v/>
      </c>
      <c r="T45">
        <f>HYPERLINK("https://klasma.github.io/Logging_2560/kartor/A 57390-2025 karta.png", "A 57390-2025")</f>
        <v/>
      </c>
      <c r="V45">
        <f>HYPERLINK("https://klasma.github.io/Logging_2560/klagomål/A 57390-2025 FSC-klagomål.docx", "A 57390-2025")</f>
        <v/>
      </c>
      <c r="W45">
        <f>HYPERLINK("https://klasma.github.io/Logging_2560/klagomålsmail/A 57390-2025 FSC-klagomål mail.docx", "A 57390-2025")</f>
        <v/>
      </c>
      <c r="X45">
        <f>HYPERLINK("https://klasma.github.io/Logging_2560/tillsyn/A 57390-2025 tillsynsbegäran.docx", "A 57390-2025")</f>
        <v/>
      </c>
      <c r="Y45">
        <f>HYPERLINK("https://klasma.github.io/Logging_2560/tillsynsmail/A 57390-2025 tillsynsbegäran mail.docx", "A 57390-2025")</f>
        <v/>
      </c>
    </row>
    <row r="46" ht="15" customHeight="1">
      <c r="A46" t="inlineStr">
        <is>
          <t>A 52177-2021</t>
        </is>
      </c>
      <c r="B46" s="1" t="n">
        <v>44463</v>
      </c>
      <c r="C46" s="1" t="n">
        <v>46134</v>
      </c>
      <c r="D46" t="inlineStr">
        <is>
          <t>NORRBOTTENS LÄN</t>
        </is>
      </c>
      <c r="E46" t="inlineStr">
        <is>
          <t>ÄLVSBYN</t>
        </is>
      </c>
      <c r="G46" t="n">
        <v>36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Tallticka
Tjäder</t>
        </is>
      </c>
      <c r="S46">
        <f>HYPERLINK("https://klasma.github.io/Logging_2560/artfynd/A 52177-2021 artfynd.xlsx", "A 52177-2021")</f>
        <v/>
      </c>
      <c r="T46">
        <f>HYPERLINK("https://klasma.github.io/Logging_2560/kartor/A 52177-2021 karta.png", "A 52177-2021")</f>
        <v/>
      </c>
      <c r="V46">
        <f>HYPERLINK("https://klasma.github.io/Logging_2560/klagomål/A 52177-2021 FSC-klagomål.docx", "A 52177-2021")</f>
        <v/>
      </c>
      <c r="W46">
        <f>HYPERLINK("https://klasma.github.io/Logging_2560/klagomålsmail/A 52177-2021 FSC-klagomål mail.docx", "A 52177-2021")</f>
        <v/>
      </c>
      <c r="X46">
        <f>HYPERLINK("https://klasma.github.io/Logging_2560/tillsyn/A 52177-2021 tillsynsbegäran.docx", "A 52177-2021")</f>
        <v/>
      </c>
      <c r="Y46">
        <f>HYPERLINK("https://klasma.github.io/Logging_2560/tillsynsmail/A 52177-2021 tillsynsbegäran mail.docx", "A 52177-2021")</f>
        <v/>
      </c>
      <c r="Z46">
        <f>HYPERLINK("https://klasma.github.io/Logging_2560/fåglar/A 52177-2021 prioriterade fågelarter.docx", "A 52177-2021")</f>
        <v/>
      </c>
    </row>
    <row r="47" ht="15" customHeight="1">
      <c r="A47" t="inlineStr">
        <is>
          <t>A 24386-2024</t>
        </is>
      </c>
      <c r="B47" s="1" t="n">
        <v>45457</v>
      </c>
      <c r="C47" s="1" t="n">
        <v>46134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24386-2024 artfynd.xlsx", "A 24386-2024")</f>
        <v/>
      </c>
      <c r="T47">
        <f>HYPERLINK("https://klasma.github.io/Logging_2560/kartor/A 24386-2024 karta.png", "A 24386-2024")</f>
        <v/>
      </c>
      <c r="V47">
        <f>HYPERLINK("https://klasma.github.io/Logging_2560/klagomål/A 24386-2024 FSC-klagomål.docx", "A 24386-2024")</f>
        <v/>
      </c>
      <c r="W47">
        <f>HYPERLINK("https://klasma.github.io/Logging_2560/klagomålsmail/A 24386-2024 FSC-klagomål mail.docx", "A 24386-2024")</f>
        <v/>
      </c>
      <c r="X47">
        <f>HYPERLINK("https://klasma.github.io/Logging_2560/tillsyn/A 24386-2024 tillsynsbegäran.docx", "A 24386-2024")</f>
        <v/>
      </c>
      <c r="Y47">
        <f>HYPERLINK("https://klasma.github.io/Logging_2560/tillsynsmail/A 24386-2024 tillsynsbegäran mail.docx", "A 24386-2024")</f>
        <v/>
      </c>
    </row>
    <row r="48" ht="15" customHeight="1">
      <c r="A48" t="inlineStr">
        <is>
          <t>A 12594-2026</t>
        </is>
      </c>
      <c r="B48" s="1" t="n">
        <v>46090.85034722222</v>
      </c>
      <c r="C48" s="1" t="n">
        <v>46134</v>
      </c>
      <c r="D48" t="inlineStr">
        <is>
          <t>NORRBOTTENS LÄN</t>
        </is>
      </c>
      <c r="E48" t="inlineStr">
        <is>
          <t>ÄLVSBYN</t>
        </is>
      </c>
      <c r="G48" t="n">
        <v>15.1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Tretåig hackspett
Tjäder</t>
        </is>
      </c>
      <c r="S48">
        <f>HYPERLINK("https://klasma.github.io/Logging_2560/artfynd/A 12594-2026 artfynd.xlsx", "A 12594-2026")</f>
        <v/>
      </c>
      <c r="T48">
        <f>HYPERLINK("https://klasma.github.io/Logging_2560/kartor/A 12594-2026 karta.png", "A 12594-2026")</f>
        <v/>
      </c>
      <c r="V48">
        <f>HYPERLINK("https://klasma.github.io/Logging_2560/klagomål/A 12594-2026 FSC-klagomål.docx", "A 12594-2026")</f>
        <v/>
      </c>
      <c r="W48">
        <f>HYPERLINK("https://klasma.github.io/Logging_2560/klagomålsmail/A 12594-2026 FSC-klagomål mail.docx", "A 12594-2026")</f>
        <v/>
      </c>
      <c r="X48">
        <f>HYPERLINK("https://klasma.github.io/Logging_2560/tillsyn/A 12594-2026 tillsynsbegäran.docx", "A 12594-2026")</f>
        <v/>
      </c>
      <c r="Y48">
        <f>HYPERLINK("https://klasma.github.io/Logging_2560/tillsynsmail/A 12594-2026 tillsynsbegäran mail.docx", "A 12594-2026")</f>
        <v/>
      </c>
      <c r="Z48">
        <f>HYPERLINK("https://klasma.github.io/Logging_2560/fåglar/A 12594-2026 prioriterade fågelarter.docx", "A 12594-2026")</f>
        <v/>
      </c>
    </row>
    <row r="49" ht="15" customHeight="1">
      <c r="A49" t="inlineStr">
        <is>
          <t>A 38727-2025</t>
        </is>
      </c>
      <c r="B49" s="1" t="n">
        <v>45887</v>
      </c>
      <c r="C49" s="1" t="n">
        <v>46134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3.6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Fläcknycklar</t>
        </is>
      </c>
      <c r="S49">
        <f>HYPERLINK("https://klasma.github.io/Logging_2560/artfynd/A 38727-2025 artfynd.xlsx", "A 38727-2025")</f>
        <v/>
      </c>
      <c r="T49">
        <f>HYPERLINK("https://klasma.github.io/Logging_2560/kartor/A 38727-2025 karta.png", "A 38727-2025")</f>
        <v/>
      </c>
      <c r="U49">
        <f>HYPERLINK("https://klasma.github.io/Logging_2560/knärot/A 38727-2025 karta knärot.png", "A 38727-2025")</f>
        <v/>
      </c>
      <c r="V49">
        <f>HYPERLINK("https://klasma.github.io/Logging_2560/klagomål/A 38727-2025 FSC-klagomål.docx", "A 38727-2025")</f>
        <v/>
      </c>
      <c r="W49">
        <f>HYPERLINK("https://klasma.github.io/Logging_2560/klagomålsmail/A 38727-2025 FSC-klagomål mail.docx", "A 38727-2025")</f>
        <v/>
      </c>
      <c r="X49">
        <f>HYPERLINK("https://klasma.github.io/Logging_2560/tillsyn/A 38727-2025 tillsynsbegäran.docx", "A 38727-2025")</f>
        <v/>
      </c>
      <c r="Y49">
        <f>HYPERLINK("https://klasma.github.io/Logging_2560/tillsynsmail/A 38727-2025 tillsynsbegäran mail.docx", "A 38727-2025")</f>
        <v/>
      </c>
    </row>
    <row r="50" ht="15" customHeight="1">
      <c r="A50" t="inlineStr">
        <is>
          <t>A 55038-2024</t>
        </is>
      </c>
      <c r="B50" s="1" t="n">
        <v>45621</v>
      </c>
      <c r="C50" s="1" t="n">
        <v>46134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55038-2024 artfynd.xlsx", "A 55038-2024")</f>
        <v/>
      </c>
      <c r="T50">
        <f>HYPERLINK("https://klasma.github.io/Logging_2560/kartor/A 55038-2024 karta.png", "A 55038-2024")</f>
        <v/>
      </c>
      <c r="V50">
        <f>HYPERLINK("https://klasma.github.io/Logging_2560/klagomål/A 55038-2024 FSC-klagomål.docx", "A 55038-2024")</f>
        <v/>
      </c>
      <c r="W50">
        <f>HYPERLINK("https://klasma.github.io/Logging_2560/klagomålsmail/A 55038-2024 FSC-klagomål mail.docx", "A 55038-2024")</f>
        <v/>
      </c>
      <c r="X50">
        <f>HYPERLINK("https://klasma.github.io/Logging_2560/tillsyn/A 55038-2024 tillsynsbegäran.docx", "A 55038-2024")</f>
        <v/>
      </c>
      <c r="Y50">
        <f>HYPERLINK("https://klasma.github.io/Logging_2560/tillsynsmail/A 55038-2024 tillsynsbegäran mail.docx", "A 55038-2024")</f>
        <v/>
      </c>
    </row>
    <row r="51" ht="15" customHeight="1">
      <c r="A51" t="inlineStr">
        <is>
          <t>A 32818-2024</t>
        </is>
      </c>
      <c r="B51" s="1" t="n">
        <v>45516</v>
      </c>
      <c r="C51" s="1" t="n">
        <v>46134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7.6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HYPERLINK("https://klasma.github.io/Logging_2560/artfynd/A 32818-2024 artfynd.xlsx", "A 32818-2024")</f>
        <v/>
      </c>
      <c r="T51">
        <f>HYPERLINK("https://klasma.github.io/Logging_2560/kartor/A 32818-2024 karta.png", "A 32818-2024")</f>
        <v/>
      </c>
      <c r="V51">
        <f>HYPERLINK("https://klasma.github.io/Logging_2560/klagomål/A 32818-2024 FSC-klagomål.docx", "A 32818-2024")</f>
        <v/>
      </c>
      <c r="W51">
        <f>HYPERLINK("https://klasma.github.io/Logging_2560/klagomålsmail/A 32818-2024 FSC-klagomål mail.docx", "A 32818-2024")</f>
        <v/>
      </c>
      <c r="X51">
        <f>HYPERLINK("https://klasma.github.io/Logging_2560/tillsyn/A 32818-2024 tillsynsbegäran.docx", "A 32818-2024")</f>
        <v/>
      </c>
      <c r="Y51">
        <f>HYPERLINK("https://klasma.github.io/Logging_2560/tillsynsmail/A 32818-2024 tillsynsbegäran mail.docx", "A 32818-2024")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46134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Järpe
Enkelbeckasin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16255-2024</t>
        </is>
      </c>
      <c r="B53" s="1" t="n">
        <v>45407</v>
      </c>
      <c r="C53" s="1" t="n">
        <v>46134</v>
      </c>
      <c r="D53" t="inlineStr">
        <is>
          <t>NORRBOTTENS LÄN</t>
        </is>
      </c>
      <c r="E53" t="inlineStr">
        <is>
          <t>ÄLVSBYN</t>
        </is>
      </c>
      <c r="F53" t="inlineStr">
        <is>
          <t>SCA</t>
        </is>
      </c>
      <c r="G53" t="n">
        <v>18.5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Gammelgransskål
Lappranunkel</t>
        </is>
      </c>
      <c r="S53">
        <f>HYPERLINK("https://klasma.github.io/Logging_2560/artfynd/A 16255-2024 artfynd.xlsx", "A 16255-2024")</f>
        <v/>
      </c>
      <c r="T53">
        <f>HYPERLINK("https://klasma.github.io/Logging_2560/kartor/A 16255-2024 karta.png", "A 16255-2024")</f>
        <v/>
      </c>
      <c r="V53">
        <f>HYPERLINK("https://klasma.github.io/Logging_2560/klagomål/A 16255-2024 FSC-klagomål.docx", "A 16255-2024")</f>
        <v/>
      </c>
      <c r="W53">
        <f>HYPERLINK("https://klasma.github.io/Logging_2560/klagomålsmail/A 16255-2024 FSC-klagomål mail.docx", "A 16255-2024")</f>
        <v/>
      </c>
      <c r="X53">
        <f>HYPERLINK("https://klasma.github.io/Logging_2560/tillsyn/A 16255-2024 tillsynsbegäran.docx", "A 16255-2024")</f>
        <v/>
      </c>
      <c r="Y53">
        <f>HYPERLINK("https://klasma.github.io/Logging_2560/tillsynsmail/A 16255-2024 tillsynsbegäran mail.docx", "A 16255-2024")</f>
        <v/>
      </c>
    </row>
    <row r="54" ht="15" customHeight="1">
      <c r="A54" t="inlineStr">
        <is>
          <t>A 21856-2025</t>
        </is>
      </c>
      <c r="B54" s="1" t="n">
        <v>45784</v>
      </c>
      <c r="C54" s="1" t="n">
        <v>46134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26.9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Tibast</t>
        </is>
      </c>
      <c r="S54">
        <f>HYPERLINK("https://klasma.github.io/Logging_2560/artfynd/A 21856-2025 artfynd.xlsx", "A 21856-2025")</f>
        <v/>
      </c>
      <c r="T54">
        <f>HYPERLINK("https://klasma.github.io/Logging_2560/kartor/A 21856-2025 karta.png", "A 21856-2025")</f>
        <v/>
      </c>
      <c r="V54">
        <f>HYPERLINK("https://klasma.github.io/Logging_2560/klagomål/A 21856-2025 FSC-klagomål.docx", "A 21856-2025")</f>
        <v/>
      </c>
      <c r="W54">
        <f>HYPERLINK("https://klasma.github.io/Logging_2560/klagomålsmail/A 21856-2025 FSC-klagomål mail.docx", "A 21856-2025")</f>
        <v/>
      </c>
      <c r="X54">
        <f>HYPERLINK("https://klasma.github.io/Logging_2560/tillsyn/A 21856-2025 tillsynsbegäran.docx", "A 21856-2025")</f>
        <v/>
      </c>
      <c r="Y54">
        <f>HYPERLINK("https://klasma.github.io/Logging_2560/tillsynsmail/A 21856-2025 tillsynsbegäran mail.docx", "A 21856-2025")</f>
        <v/>
      </c>
    </row>
    <row r="55" ht="15" customHeight="1">
      <c r="A55" t="inlineStr">
        <is>
          <t>A 22567-2025</t>
        </is>
      </c>
      <c r="B55" s="1" t="n">
        <v>45789</v>
      </c>
      <c r="C55" s="1" t="n">
        <v>46134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Rotfingersvamp
Orange taggsvamp</t>
        </is>
      </c>
      <c r="S55">
        <f>HYPERLINK("https://klasma.github.io/Logging_2560/artfynd/A 22567-2025 artfynd.xlsx", "A 22567-2025")</f>
        <v/>
      </c>
      <c r="T55">
        <f>HYPERLINK("https://klasma.github.io/Logging_2560/kartor/A 22567-2025 karta.png", "A 22567-2025")</f>
        <v/>
      </c>
      <c r="V55">
        <f>HYPERLINK("https://klasma.github.io/Logging_2560/klagomål/A 22567-2025 FSC-klagomål.docx", "A 22567-2025")</f>
        <v/>
      </c>
      <c r="W55">
        <f>HYPERLINK("https://klasma.github.io/Logging_2560/klagomålsmail/A 22567-2025 FSC-klagomål mail.docx", "A 22567-2025")</f>
        <v/>
      </c>
      <c r="X55">
        <f>HYPERLINK("https://klasma.github.io/Logging_2560/tillsyn/A 22567-2025 tillsynsbegäran.docx", "A 22567-2025")</f>
        <v/>
      </c>
      <c r="Y55">
        <f>HYPERLINK("https://klasma.github.io/Logging_2560/tillsynsmail/A 22567-2025 tillsynsbegäran mail.docx", "A 22567-2025")</f>
        <v/>
      </c>
    </row>
    <row r="56" ht="15" customHeight="1">
      <c r="A56" t="inlineStr">
        <is>
          <t>A 38620-2022</t>
        </is>
      </c>
      <c r="B56" s="1" t="n">
        <v>44813.61173611111</v>
      </c>
      <c r="C56" s="1" t="n">
        <v>46134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taggsvamp</t>
        </is>
      </c>
      <c r="S56">
        <f>HYPERLINK("https://klasma.github.io/Logging_2560/artfynd/A 38620-2022 artfynd.xlsx", "A 38620-2022")</f>
        <v/>
      </c>
      <c r="T56">
        <f>HYPERLINK("https://klasma.github.io/Logging_2560/kartor/A 38620-2022 karta.png", "A 38620-2022")</f>
        <v/>
      </c>
      <c r="V56">
        <f>HYPERLINK("https://klasma.github.io/Logging_2560/klagomål/A 38620-2022 FSC-klagomål.docx", "A 38620-2022")</f>
        <v/>
      </c>
      <c r="W56">
        <f>HYPERLINK("https://klasma.github.io/Logging_2560/klagomålsmail/A 38620-2022 FSC-klagomål mail.docx", "A 38620-2022")</f>
        <v/>
      </c>
      <c r="X56">
        <f>HYPERLINK("https://klasma.github.io/Logging_2560/tillsyn/A 38620-2022 tillsynsbegäran.docx", "A 38620-2022")</f>
        <v/>
      </c>
      <c r="Y56">
        <f>HYPERLINK("https://klasma.github.io/Logging_2560/tillsynsmail/A 38620-2022 tillsynsbegäran mail.docx", "A 38620-2022")</f>
        <v/>
      </c>
    </row>
    <row r="57" ht="15" customHeight="1">
      <c r="A57" t="inlineStr">
        <is>
          <t>A 16470-2022</t>
        </is>
      </c>
      <c r="B57" s="1" t="n">
        <v>44671</v>
      </c>
      <c r="C57" s="1" t="n">
        <v>46134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6.6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HYPERLINK("https://klasma.github.io/Logging_2560/artfynd/A 16470-2022 artfynd.xlsx", "A 16470-2022")</f>
        <v/>
      </c>
      <c r="T57">
        <f>HYPERLINK("https://klasma.github.io/Logging_2560/kartor/A 16470-2022 karta.png", "A 16470-2022")</f>
        <v/>
      </c>
      <c r="V57">
        <f>HYPERLINK("https://klasma.github.io/Logging_2560/klagomål/A 16470-2022 FSC-klagomål.docx", "A 16470-2022")</f>
        <v/>
      </c>
      <c r="W57">
        <f>HYPERLINK("https://klasma.github.io/Logging_2560/klagomålsmail/A 16470-2022 FSC-klagomål mail.docx", "A 16470-2022")</f>
        <v/>
      </c>
      <c r="X57">
        <f>HYPERLINK("https://klasma.github.io/Logging_2560/tillsyn/A 16470-2022 tillsynsbegäran.docx", "A 16470-2022")</f>
        <v/>
      </c>
      <c r="Y57">
        <f>HYPERLINK("https://klasma.github.io/Logging_2560/tillsynsmail/A 16470-2022 tillsynsbegäran mail.docx", "A 16470-2022")</f>
        <v/>
      </c>
    </row>
    <row r="58" ht="15" customHeight="1">
      <c r="A58" t="inlineStr">
        <is>
          <t>A 58201-2021</t>
        </is>
      </c>
      <c r="B58" s="1" t="n">
        <v>44487</v>
      </c>
      <c r="C58" s="1" t="n">
        <v>46134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Lappuggla</t>
        </is>
      </c>
      <c r="S58">
        <f>HYPERLINK("https://klasma.github.io/Logging_2560/artfynd/A 58201-2021 artfynd.xlsx", "A 58201-2021")</f>
        <v/>
      </c>
      <c r="T58">
        <f>HYPERLINK("https://klasma.github.io/Logging_2560/kartor/A 58201-2021 karta.png", "A 58201-2021")</f>
        <v/>
      </c>
      <c r="V58">
        <f>HYPERLINK("https://klasma.github.io/Logging_2560/klagomål/A 58201-2021 FSC-klagomål.docx", "A 58201-2021")</f>
        <v/>
      </c>
      <c r="W58">
        <f>HYPERLINK("https://klasma.github.io/Logging_2560/klagomålsmail/A 58201-2021 FSC-klagomål mail.docx", "A 58201-2021")</f>
        <v/>
      </c>
      <c r="X58">
        <f>HYPERLINK("https://klasma.github.io/Logging_2560/tillsyn/A 58201-2021 tillsynsbegäran.docx", "A 58201-2021")</f>
        <v/>
      </c>
      <c r="Y58">
        <f>HYPERLINK("https://klasma.github.io/Logging_2560/tillsynsmail/A 58201-2021 tillsynsbegäran mail.docx", "A 58201-2021")</f>
        <v/>
      </c>
      <c r="Z58">
        <f>HYPERLINK("https://klasma.github.io/Logging_2560/fåglar/A 58201-2021 prioriterade fågelarter.docx", "A 58201-2021")</f>
        <v/>
      </c>
    </row>
    <row r="59" ht="15" customHeight="1">
      <c r="A59" t="inlineStr">
        <is>
          <t>A 23790-2025</t>
        </is>
      </c>
      <c r="B59" s="1" t="n">
        <v>45793</v>
      </c>
      <c r="C59" s="1" t="n">
        <v>46134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Vedflamlav</t>
        </is>
      </c>
      <c r="S59">
        <f>HYPERLINK("https://klasma.github.io/Logging_2560/artfynd/A 23790-2025 artfynd.xlsx", "A 23790-2025")</f>
        <v/>
      </c>
      <c r="T59">
        <f>HYPERLINK("https://klasma.github.io/Logging_2560/kartor/A 23790-2025 karta.png", "A 23790-2025")</f>
        <v/>
      </c>
      <c r="V59">
        <f>HYPERLINK("https://klasma.github.io/Logging_2560/klagomål/A 23790-2025 FSC-klagomål.docx", "A 23790-2025")</f>
        <v/>
      </c>
      <c r="W59">
        <f>HYPERLINK("https://klasma.github.io/Logging_2560/klagomålsmail/A 23790-2025 FSC-klagomål mail.docx", "A 23790-2025")</f>
        <v/>
      </c>
      <c r="X59">
        <f>HYPERLINK("https://klasma.github.io/Logging_2560/tillsyn/A 23790-2025 tillsynsbegäran.docx", "A 23790-2025")</f>
        <v/>
      </c>
      <c r="Y59">
        <f>HYPERLINK("https://klasma.github.io/Logging_2560/tillsynsmail/A 23790-2025 tillsynsbegäran mail.docx", "A 23790-2025")</f>
        <v/>
      </c>
    </row>
    <row r="60" ht="15" customHeight="1">
      <c r="A60" t="inlineStr">
        <is>
          <t>A 40122-2025</t>
        </is>
      </c>
      <c r="B60" s="1" t="n">
        <v>45894.52885416667</v>
      </c>
      <c r="C60" s="1" t="n">
        <v>46134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30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HYPERLINK("https://klasma.github.io/Logging_2560/artfynd/A 40122-2025 artfynd.xlsx", "A 40122-2025")</f>
        <v/>
      </c>
      <c r="T60">
        <f>HYPERLINK("https://klasma.github.io/Logging_2560/kartor/A 40122-2025 karta.png", "A 40122-2025")</f>
        <v/>
      </c>
      <c r="V60">
        <f>HYPERLINK("https://klasma.github.io/Logging_2560/klagomål/A 40122-2025 FSC-klagomål.docx", "A 40122-2025")</f>
        <v/>
      </c>
      <c r="W60">
        <f>HYPERLINK("https://klasma.github.io/Logging_2560/klagomålsmail/A 40122-2025 FSC-klagomål mail.docx", "A 40122-2025")</f>
        <v/>
      </c>
      <c r="X60">
        <f>HYPERLINK("https://klasma.github.io/Logging_2560/tillsyn/A 40122-2025 tillsynsbegäran.docx", "A 40122-2025")</f>
        <v/>
      </c>
      <c r="Y60">
        <f>HYPERLINK("https://klasma.github.io/Logging_2560/tillsynsmail/A 40122-2025 tillsynsbegäran mail.docx", "A 40122-2025")</f>
        <v/>
      </c>
    </row>
    <row r="61" ht="15" customHeight="1">
      <c r="A61" t="inlineStr">
        <is>
          <t>A 20466-2025</t>
        </is>
      </c>
      <c r="B61" s="1" t="n">
        <v>45775</v>
      </c>
      <c r="C61" s="1" t="n">
        <v>46134</v>
      </c>
      <c r="D61" t="inlineStr">
        <is>
          <t>NORRBOTTENS LÄN</t>
        </is>
      </c>
      <c r="E61" t="inlineStr">
        <is>
          <t>ÄLVSBYN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HYPERLINK("https://klasma.github.io/Logging_2560/artfynd/A 20466-2025 artfynd.xlsx", "A 20466-2025")</f>
        <v/>
      </c>
      <c r="T61">
        <f>HYPERLINK("https://klasma.github.io/Logging_2560/kartor/A 20466-2025 karta.png", "A 20466-2025")</f>
        <v/>
      </c>
      <c r="V61">
        <f>HYPERLINK("https://klasma.github.io/Logging_2560/klagomål/A 20466-2025 FSC-klagomål.docx", "A 20466-2025")</f>
        <v/>
      </c>
      <c r="W61">
        <f>HYPERLINK("https://klasma.github.io/Logging_2560/klagomålsmail/A 20466-2025 FSC-klagomål mail.docx", "A 20466-2025")</f>
        <v/>
      </c>
      <c r="X61">
        <f>HYPERLINK("https://klasma.github.io/Logging_2560/tillsyn/A 20466-2025 tillsynsbegäran.docx", "A 20466-2025")</f>
        <v/>
      </c>
      <c r="Y61">
        <f>HYPERLINK("https://klasma.github.io/Logging_2560/tillsynsmail/A 20466-2025 tillsynsbegäran mail.docx", "A 20466-2025")</f>
        <v/>
      </c>
    </row>
    <row r="62" ht="15" customHeight="1">
      <c r="A62" t="inlineStr">
        <is>
          <t>A 45397-2025</t>
        </is>
      </c>
      <c r="B62" s="1" t="n">
        <v>45922.42065972222</v>
      </c>
      <c r="C62" s="1" t="n">
        <v>46134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Vedflamlav</t>
        </is>
      </c>
      <c r="S62">
        <f>HYPERLINK("https://klasma.github.io/Logging_2560/artfynd/A 45397-2025 artfynd.xlsx", "A 45397-2025")</f>
        <v/>
      </c>
      <c r="T62">
        <f>HYPERLINK("https://klasma.github.io/Logging_2560/kartor/A 45397-2025 karta.png", "A 45397-2025")</f>
        <v/>
      </c>
      <c r="V62">
        <f>HYPERLINK("https://klasma.github.io/Logging_2560/klagomål/A 45397-2025 FSC-klagomål.docx", "A 45397-2025")</f>
        <v/>
      </c>
      <c r="W62">
        <f>HYPERLINK("https://klasma.github.io/Logging_2560/klagomålsmail/A 45397-2025 FSC-klagomål mail.docx", "A 45397-2025")</f>
        <v/>
      </c>
      <c r="X62">
        <f>HYPERLINK("https://klasma.github.io/Logging_2560/tillsyn/A 45397-2025 tillsynsbegäran.docx", "A 45397-2025")</f>
        <v/>
      </c>
      <c r="Y62">
        <f>HYPERLINK("https://klasma.github.io/Logging_2560/tillsynsmail/A 45397-2025 tillsynsbegäran mail.docx", "A 45397-2025")</f>
        <v/>
      </c>
    </row>
    <row r="63" ht="15" customHeight="1">
      <c r="A63" t="inlineStr">
        <is>
          <t>A 33234-2025</t>
        </is>
      </c>
      <c r="B63" s="1" t="n">
        <v>45840.64365740741</v>
      </c>
      <c r="C63" s="1" t="n">
        <v>46134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HYPERLINK("https://klasma.github.io/Logging_2560/artfynd/A 33234-2025 artfynd.xlsx", "A 33234-2025")</f>
        <v/>
      </c>
      <c r="T63">
        <f>HYPERLINK("https://klasma.github.io/Logging_2560/kartor/A 33234-2025 karta.png", "A 33234-2025")</f>
        <v/>
      </c>
      <c r="V63">
        <f>HYPERLINK("https://klasma.github.io/Logging_2560/klagomål/A 33234-2025 FSC-klagomål.docx", "A 33234-2025")</f>
        <v/>
      </c>
      <c r="W63">
        <f>HYPERLINK("https://klasma.github.io/Logging_2560/klagomålsmail/A 33234-2025 FSC-klagomål mail.docx", "A 33234-2025")</f>
        <v/>
      </c>
      <c r="X63">
        <f>HYPERLINK("https://klasma.github.io/Logging_2560/tillsyn/A 33234-2025 tillsynsbegäran.docx", "A 33234-2025")</f>
        <v/>
      </c>
      <c r="Y63">
        <f>HYPERLINK("https://klasma.github.io/Logging_2560/tillsynsmail/A 33234-2025 tillsynsbegäran mail.docx", "A 33234-2025")</f>
        <v/>
      </c>
      <c r="Z63">
        <f>HYPERLINK("https://klasma.github.io/Logging_2560/fåglar/A 33234-2025 prioriterade fågelarter.docx", "A 33234-2025")</f>
        <v/>
      </c>
    </row>
    <row r="64" ht="15" customHeight="1">
      <c r="A64" t="inlineStr">
        <is>
          <t>A 45384-2025</t>
        </is>
      </c>
      <c r="B64" s="1" t="n">
        <v>45922.40668981482</v>
      </c>
      <c r="C64" s="1" t="n">
        <v>46134</v>
      </c>
      <c r="D64" t="inlineStr">
        <is>
          <t>NORRBOTTENS LÄN</t>
        </is>
      </c>
      <c r="E64" t="inlineStr">
        <is>
          <t>ÄLVSBYN</t>
        </is>
      </c>
      <c r="G64" t="n">
        <v>10.3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45384-2025 artfynd.xlsx", "A 45384-2025")</f>
        <v/>
      </c>
      <c r="T64">
        <f>HYPERLINK("https://klasma.github.io/Logging_2560/kartor/A 45384-2025 karta.png", "A 45384-2025")</f>
        <v/>
      </c>
      <c r="V64">
        <f>HYPERLINK("https://klasma.github.io/Logging_2560/klagomål/A 45384-2025 FSC-klagomål.docx", "A 45384-2025")</f>
        <v/>
      </c>
      <c r="W64">
        <f>HYPERLINK("https://klasma.github.io/Logging_2560/klagomålsmail/A 45384-2025 FSC-klagomål mail.docx", "A 45384-2025")</f>
        <v/>
      </c>
      <c r="X64">
        <f>HYPERLINK("https://klasma.github.io/Logging_2560/tillsyn/A 45384-2025 tillsynsbegäran.docx", "A 45384-2025")</f>
        <v/>
      </c>
      <c r="Y64">
        <f>HYPERLINK("https://klasma.github.io/Logging_2560/tillsynsmail/A 45384-2025 tillsynsbegäran mail.docx", "A 45384-2025")</f>
        <v/>
      </c>
    </row>
    <row r="65" ht="15" customHeight="1">
      <c r="A65" t="inlineStr">
        <is>
          <t>A 34544-2025</t>
        </is>
      </c>
      <c r="B65" s="1" t="n">
        <v>45847</v>
      </c>
      <c r="C65" s="1" t="n">
        <v>46134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34544-2025 artfynd.xlsx", "A 34544-2025")</f>
        <v/>
      </c>
      <c r="T65">
        <f>HYPERLINK("https://klasma.github.io/Logging_2560/kartor/A 34544-2025 karta.png", "A 34544-2025")</f>
        <v/>
      </c>
      <c r="V65">
        <f>HYPERLINK("https://klasma.github.io/Logging_2560/klagomål/A 34544-2025 FSC-klagomål.docx", "A 34544-2025")</f>
        <v/>
      </c>
      <c r="W65">
        <f>HYPERLINK("https://klasma.github.io/Logging_2560/klagomålsmail/A 34544-2025 FSC-klagomål mail.docx", "A 34544-2025")</f>
        <v/>
      </c>
      <c r="X65">
        <f>HYPERLINK("https://klasma.github.io/Logging_2560/tillsyn/A 34544-2025 tillsynsbegäran.docx", "A 34544-2025")</f>
        <v/>
      </c>
      <c r="Y65">
        <f>HYPERLINK("https://klasma.github.io/Logging_2560/tillsynsmail/A 34544-2025 tillsynsbegäran mail.docx", "A 34544-2025")</f>
        <v/>
      </c>
    </row>
    <row r="66" ht="15" customHeight="1">
      <c r="A66" t="inlineStr">
        <is>
          <t>A 55788-2024</t>
        </is>
      </c>
      <c r="B66" s="1" t="n">
        <v>45623</v>
      </c>
      <c r="C66" s="1" t="n">
        <v>46134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HYPERLINK("https://klasma.github.io/Logging_2560/artfynd/A 55788-2024 artfynd.xlsx", "A 55788-2024")</f>
        <v/>
      </c>
      <c r="T66">
        <f>HYPERLINK("https://klasma.github.io/Logging_2560/kartor/A 55788-2024 karta.png", "A 55788-2024")</f>
        <v/>
      </c>
      <c r="V66">
        <f>HYPERLINK("https://klasma.github.io/Logging_2560/klagomål/A 55788-2024 FSC-klagomål.docx", "A 55788-2024")</f>
        <v/>
      </c>
      <c r="W66">
        <f>HYPERLINK("https://klasma.github.io/Logging_2560/klagomålsmail/A 55788-2024 FSC-klagomål mail.docx", "A 55788-2024")</f>
        <v/>
      </c>
      <c r="X66">
        <f>HYPERLINK("https://klasma.github.io/Logging_2560/tillsyn/A 55788-2024 tillsynsbegäran.docx", "A 55788-2024")</f>
        <v/>
      </c>
      <c r="Y66">
        <f>HYPERLINK("https://klasma.github.io/Logging_2560/tillsynsmail/A 55788-2024 tillsynsbegäran mail.docx", "A 55788-2024")</f>
        <v/>
      </c>
    </row>
    <row r="67" ht="15" customHeight="1">
      <c r="A67" t="inlineStr">
        <is>
          <t>A 48105-2025</t>
        </is>
      </c>
      <c r="B67" s="1" t="n">
        <v>45933</v>
      </c>
      <c r="C67" s="1" t="n">
        <v>46134</v>
      </c>
      <c r="D67" t="inlineStr">
        <is>
          <t>NORRBOTTENS LÄN</t>
        </is>
      </c>
      <c r="E67" t="inlineStr">
        <is>
          <t>ÄLVSBYN</t>
        </is>
      </c>
      <c r="F67" t="inlineStr">
        <is>
          <t>SCA</t>
        </is>
      </c>
      <c r="G67" t="n">
        <v>2.4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Fläckporing</t>
        </is>
      </c>
      <c r="S67">
        <f>HYPERLINK("https://klasma.github.io/Logging_2560/artfynd/A 48105-2025 artfynd.xlsx", "A 48105-2025")</f>
        <v/>
      </c>
      <c r="T67">
        <f>HYPERLINK("https://klasma.github.io/Logging_2560/kartor/A 48105-2025 karta.png", "A 48105-2025")</f>
        <v/>
      </c>
      <c r="V67">
        <f>HYPERLINK("https://klasma.github.io/Logging_2560/klagomål/A 48105-2025 FSC-klagomål.docx", "A 48105-2025")</f>
        <v/>
      </c>
      <c r="W67">
        <f>HYPERLINK("https://klasma.github.io/Logging_2560/klagomålsmail/A 48105-2025 FSC-klagomål mail.docx", "A 48105-2025")</f>
        <v/>
      </c>
      <c r="X67">
        <f>HYPERLINK("https://klasma.github.io/Logging_2560/tillsyn/A 48105-2025 tillsynsbegäran.docx", "A 48105-2025")</f>
        <v/>
      </c>
      <c r="Y67">
        <f>HYPERLINK("https://klasma.github.io/Logging_2560/tillsynsmail/A 48105-2025 tillsynsbegäran mail.docx", "A 48105-2025")</f>
        <v/>
      </c>
    </row>
    <row r="68" ht="15" customHeight="1">
      <c r="A68" t="inlineStr">
        <is>
          <t>A 49400-2025</t>
        </is>
      </c>
      <c r="B68" s="1" t="n">
        <v>45938</v>
      </c>
      <c r="C68" s="1" t="n">
        <v>46134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13.7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Stuplav</t>
        </is>
      </c>
      <c r="S68">
        <f>HYPERLINK("https://klasma.github.io/Logging_2560/artfynd/A 49400-2025 artfynd.xlsx", "A 49400-2025")</f>
        <v/>
      </c>
      <c r="T68">
        <f>HYPERLINK("https://klasma.github.io/Logging_2560/kartor/A 49400-2025 karta.png", "A 49400-2025")</f>
        <v/>
      </c>
      <c r="V68">
        <f>HYPERLINK("https://klasma.github.io/Logging_2560/klagomål/A 49400-2025 FSC-klagomål.docx", "A 49400-2025")</f>
        <v/>
      </c>
      <c r="W68">
        <f>HYPERLINK("https://klasma.github.io/Logging_2560/klagomålsmail/A 49400-2025 FSC-klagomål mail.docx", "A 49400-2025")</f>
        <v/>
      </c>
      <c r="X68">
        <f>HYPERLINK("https://klasma.github.io/Logging_2560/tillsyn/A 49400-2025 tillsynsbegäran.docx", "A 49400-2025")</f>
        <v/>
      </c>
      <c r="Y68">
        <f>HYPERLINK("https://klasma.github.io/Logging_2560/tillsynsmail/A 49400-2025 tillsynsbegäran mail.docx", "A 49400-2025")</f>
        <v/>
      </c>
    </row>
    <row r="69" ht="15" customHeight="1">
      <c r="A69" t="inlineStr">
        <is>
          <t>A 57140-2024</t>
        </is>
      </c>
      <c r="B69" s="1" t="n">
        <v>45629</v>
      </c>
      <c r="C69" s="1" t="n">
        <v>46134</v>
      </c>
      <c r="D69" t="inlineStr">
        <is>
          <t>NORRBOTTENS LÄN</t>
        </is>
      </c>
      <c r="E69" t="inlineStr">
        <is>
          <t>ÄLVSBYN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HYPERLINK("https://klasma.github.io/Logging_2560/artfynd/A 57140-2024 artfynd.xlsx", "A 57140-2024")</f>
        <v/>
      </c>
      <c r="T69">
        <f>HYPERLINK("https://klasma.github.io/Logging_2560/kartor/A 57140-2024 karta.png", "A 57140-2024")</f>
        <v/>
      </c>
      <c r="V69">
        <f>HYPERLINK("https://klasma.github.io/Logging_2560/klagomål/A 57140-2024 FSC-klagomål.docx", "A 57140-2024")</f>
        <v/>
      </c>
      <c r="W69">
        <f>HYPERLINK("https://klasma.github.io/Logging_2560/klagomålsmail/A 57140-2024 FSC-klagomål mail.docx", "A 57140-2024")</f>
        <v/>
      </c>
      <c r="X69">
        <f>HYPERLINK("https://klasma.github.io/Logging_2560/tillsyn/A 57140-2024 tillsynsbegäran.docx", "A 57140-2024")</f>
        <v/>
      </c>
      <c r="Y69">
        <f>HYPERLINK("https://klasma.github.io/Logging_2560/tillsynsmail/A 57140-2024 tillsynsbegäran mail.docx", "A 57140-2024")</f>
        <v/>
      </c>
    </row>
    <row r="70" ht="15" customHeight="1">
      <c r="A70" t="inlineStr">
        <is>
          <t>A 50429-2025</t>
        </is>
      </c>
      <c r="B70" s="1" t="n">
        <v>45944</v>
      </c>
      <c r="C70" s="1" t="n">
        <v>46134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Dvärgbägarlav</t>
        </is>
      </c>
      <c r="S70">
        <f>HYPERLINK("https://klasma.github.io/Logging_2560/artfynd/A 50429-2025 artfynd.xlsx", "A 50429-2025")</f>
        <v/>
      </c>
      <c r="T70">
        <f>HYPERLINK("https://klasma.github.io/Logging_2560/kartor/A 50429-2025 karta.png", "A 50429-2025")</f>
        <v/>
      </c>
      <c r="V70">
        <f>HYPERLINK("https://klasma.github.io/Logging_2560/klagomål/A 50429-2025 FSC-klagomål.docx", "A 50429-2025")</f>
        <v/>
      </c>
      <c r="W70">
        <f>HYPERLINK("https://klasma.github.io/Logging_2560/klagomålsmail/A 50429-2025 FSC-klagomål mail.docx", "A 50429-2025")</f>
        <v/>
      </c>
      <c r="X70">
        <f>HYPERLINK("https://klasma.github.io/Logging_2560/tillsyn/A 50429-2025 tillsynsbegäran.docx", "A 50429-2025")</f>
        <v/>
      </c>
      <c r="Y70">
        <f>HYPERLINK("https://klasma.github.io/Logging_2560/tillsynsmail/A 50429-2025 tillsynsbegäran mail.docx", "A 50429-2025")</f>
        <v/>
      </c>
    </row>
    <row r="71" ht="15" customHeight="1">
      <c r="A71" t="inlineStr">
        <is>
          <t>A 37532-2025</t>
        </is>
      </c>
      <c r="B71" s="1" t="n">
        <v>45878</v>
      </c>
      <c r="C71" s="1" t="n">
        <v>46134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12.9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Bollvitmossa</t>
        </is>
      </c>
      <c r="S71">
        <f>HYPERLINK("https://klasma.github.io/Logging_2560/artfynd/A 37532-2025 artfynd.xlsx", "A 37532-2025")</f>
        <v/>
      </c>
      <c r="T71">
        <f>HYPERLINK("https://klasma.github.io/Logging_2560/kartor/A 37532-2025 karta.png", "A 37532-2025")</f>
        <v/>
      </c>
      <c r="V71">
        <f>HYPERLINK("https://klasma.github.io/Logging_2560/klagomål/A 37532-2025 FSC-klagomål.docx", "A 37532-2025")</f>
        <v/>
      </c>
      <c r="W71">
        <f>HYPERLINK("https://klasma.github.io/Logging_2560/klagomålsmail/A 37532-2025 FSC-klagomål mail.docx", "A 37532-2025")</f>
        <v/>
      </c>
      <c r="X71">
        <f>HYPERLINK("https://klasma.github.io/Logging_2560/tillsyn/A 37532-2025 tillsynsbegäran.docx", "A 37532-2025")</f>
        <v/>
      </c>
      <c r="Y71">
        <f>HYPERLINK("https://klasma.github.io/Logging_2560/tillsynsmail/A 37532-2025 tillsynsbegäran mail.docx", "A 37532-2025")</f>
        <v/>
      </c>
    </row>
    <row r="72" ht="15" customHeight="1">
      <c r="A72" t="inlineStr">
        <is>
          <t>A 52159-2025</t>
        </is>
      </c>
      <c r="B72" s="1" t="n">
        <v>45953</v>
      </c>
      <c r="C72" s="1" t="n">
        <v>46134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39.7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HYPERLINK("https://klasma.github.io/Logging_2560/artfynd/A 52159-2025 artfynd.xlsx", "A 52159-2025")</f>
        <v/>
      </c>
      <c r="T72">
        <f>HYPERLINK("https://klasma.github.io/Logging_2560/kartor/A 52159-2025 karta.png", "A 52159-2025")</f>
        <v/>
      </c>
      <c r="V72">
        <f>HYPERLINK("https://klasma.github.io/Logging_2560/klagomål/A 52159-2025 FSC-klagomål.docx", "A 52159-2025")</f>
        <v/>
      </c>
      <c r="W72">
        <f>HYPERLINK("https://klasma.github.io/Logging_2560/klagomålsmail/A 52159-2025 FSC-klagomål mail.docx", "A 52159-2025")</f>
        <v/>
      </c>
      <c r="X72">
        <f>HYPERLINK("https://klasma.github.io/Logging_2560/tillsyn/A 52159-2025 tillsynsbegäran.docx", "A 52159-2025")</f>
        <v/>
      </c>
      <c r="Y72">
        <f>HYPERLINK("https://klasma.github.io/Logging_2560/tillsynsmail/A 52159-2025 tillsynsbegäran mail.docx", "A 52159-2025")</f>
        <v/>
      </c>
    </row>
    <row r="73" ht="15" customHeight="1">
      <c r="A73" t="inlineStr">
        <is>
          <t>A 52964-2025</t>
        </is>
      </c>
      <c r="B73" s="1" t="n">
        <v>45957</v>
      </c>
      <c r="C73" s="1" t="n">
        <v>46134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HYPERLINK("https://klasma.github.io/Logging_2560/artfynd/A 52964-2025 artfynd.xlsx", "A 52964-2025")</f>
        <v/>
      </c>
      <c r="T73">
        <f>HYPERLINK("https://klasma.github.io/Logging_2560/kartor/A 52964-2025 karta.png", "A 52964-2025")</f>
        <v/>
      </c>
      <c r="V73">
        <f>HYPERLINK("https://klasma.github.io/Logging_2560/klagomål/A 52964-2025 FSC-klagomål.docx", "A 52964-2025")</f>
        <v/>
      </c>
      <c r="W73">
        <f>HYPERLINK("https://klasma.github.io/Logging_2560/klagomålsmail/A 52964-2025 FSC-klagomål mail.docx", "A 52964-2025")</f>
        <v/>
      </c>
      <c r="X73">
        <f>HYPERLINK("https://klasma.github.io/Logging_2560/tillsyn/A 52964-2025 tillsynsbegäran.docx", "A 52964-2025")</f>
        <v/>
      </c>
      <c r="Y73">
        <f>HYPERLINK("https://klasma.github.io/Logging_2560/tillsynsmail/A 52964-2025 tillsynsbegäran mail.docx", "A 52964-2025")</f>
        <v/>
      </c>
    </row>
    <row r="74" ht="15" customHeight="1">
      <c r="A74" t="inlineStr">
        <is>
          <t>A 52885-2025</t>
        </is>
      </c>
      <c r="B74" s="1" t="n">
        <v>45957</v>
      </c>
      <c r="C74" s="1" t="n">
        <v>46134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HYPERLINK("https://klasma.github.io/Logging_2560/artfynd/A 52885-2025 artfynd.xlsx", "A 52885-2025")</f>
        <v/>
      </c>
      <c r="T74">
        <f>HYPERLINK("https://klasma.github.io/Logging_2560/kartor/A 52885-2025 karta.png", "A 52885-2025")</f>
        <v/>
      </c>
      <c r="V74">
        <f>HYPERLINK("https://klasma.github.io/Logging_2560/klagomål/A 52885-2025 FSC-klagomål.docx", "A 52885-2025")</f>
        <v/>
      </c>
      <c r="W74">
        <f>HYPERLINK("https://klasma.github.io/Logging_2560/klagomålsmail/A 52885-2025 FSC-klagomål mail.docx", "A 52885-2025")</f>
        <v/>
      </c>
      <c r="X74">
        <f>HYPERLINK("https://klasma.github.io/Logging_2560/tillsyn/A 52885-2025 tillsynsbegäran.docx", "A 52885-2025")</f>
        <v/>
      </c>
      <c r="Y74">
        <f>HYPERLINK("https://klasma.github.io/Logging_2560/tillsynsmail/A 52885-2025 tillsynsbegäran mail.docx", "A 52885-2025")</f>
        <v/>
      </c>
    </row>
    <row r="75" ht="15" customHeight="1">
      <c r="A75" t="inlineStr">
        <is>
          <t>A 43005-2021</t>
        </is>
      </c>
      <c r="B75" s="1" t="n">
        <v>44431</v>
      </c>
      <c r="C75" s="1" t="n">
        <v>46134</v>
      </c>
      <c r="D75" t="inlineStr">
        <is>
          <t>NORRBOTTENS LÄN</t>
        </is>
      </c>
      <c r="E75" t="inlineStr">
        <is>
          <t>ÄLVSBYN</t>
        </is>
      </c>
      <c r="G75" t="n">
        <v>5.5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HYPERLINK("https://klasma.github.io/Logging_2560/artfynd/A 43005-2021 artfynd.xlsx", "A 43005-2021")</f>
        <v/>
      </c>
      <c r="T75">
        <f>HYPERLINK("https://klasma.github.io/Logging_2560/kartor/A 43005-2021 karta.png", "A 43005-2021")</f>
        <v/>
      </c>
      <c r="V75">
        <f>HYPERLINK("https://klasma.github.io/Logging_2560/klagomål/A 43005-2021 FSC-klagomål.docx", "A 43005-2021")</f>
        <v/>
      </c>
      <c r="W75">
        <f>HYPERLINK("https://klasma.github.io/Logging_2560/klagomålsmail/A 43005-2021 FSC-klagomål mail.docx", "A 43005-2021")</f>
        <v/>
      </c>
      <c r="X75">
        <f>HYPERLINK("https://klasma.github.io/Logging_2560/tillsyn/A 43005-2021 tillsynsbegäran.docx", "A 43005-2021")</f>
        <v/>
      </c>
      <c r="Y75">
        <f>HYPERLINK("https://klasma.github.io/Logging_2560/tillsynsmail/A 43005-2021 tillsynsbegäran mail.docx", "A 43005-2021")</f>
        <v/>
      </c>
    </row>
    <row r="76" ht="15" customHeight="1">
      <c r="A76" t="inlineStr">
        <is>
          <t>A 58411-2025</t>
        </is>
      </c>
      <c r="B76" s="1" t="n">
        <v>45985</v>
      </c>
      <c r="C76" s="1" t="n">
        <v>46134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HYPERLINK("https://klasma.github.io/Logging_2560/artfynd/A 58411-2025 artfynd.xlsx", "A 58411-2025")</f>
        <v/>
      </c>
      <c r="T76">
        <f>HYPERLINK("https://klasma.github.io/Logging_2560/kartor/A 58411-2025 karta.png", "A 58411-2025")</f>
        <v/>
      </c>
      <c r="V76">
        <f>HYPERLINK("https://klasma.github.io/Logging_2560/klagomål/A 58411-2025 FSC-klagomål.docx", "A 58411-2025")</f>
        <v/>
      </c>
      <c r="W76">
        <f>HYPERLINK("https://klasma.github.io/Logging_2560/klagomålsmail/A 58411-2025 FSC-klagomål mail.docx", "A 58411-2025")</f>
        <v/>
      </c>
      <c r="X76">
        <f>HYPERLINK("https://klasma.github.io/Logging_2560/tillsyn/A 58411-2025 tillsynsbegäran.docx", "A 58411-2025")</f>
        <v/>
      </c>
      <c r="Y76">
        <f>HYPERLINK("https://klasma.github.io/Logging_2560/tillsynsmail/A 58411-2025 tillsynsbegäran mail.docx", "A 58411-2025")</f>
        <v/>
      </c>
    </row>
    <row r="77" ht="15" customHeight="1">
      <c r="A77" t="inlineStr">
        <is>
          <t>A 59320-2025</t>
        </is>
      </c>
      <c r="B77" s="1" t="n">
        <v>45989</v>
      </c>
      <c r="C77" s="1" t="n">
        <v>46134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14.7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HYPERLINK("https://klasma.github.io/Logging_2560/artfynd/A 59320-2025 artfynd.xlsx", "A 59320-2025")</f>
        <v/>
      </c>
      <c r="T77">
        <f>HYPERLINK("https://klasma.github.io/Logging_2560/kartor/A 59320-2025 karta.png", "A 59320-2025")</f>
        <v/>
      </c>
      <c r="V77">
        <f>HYPERLINK("https://klasma.github.io/Logging_2560/klagomål/A 59320-2025 FSC-klagomål.docx", "A 59320-2025")</f>
        <v/>
      </c>
      <c r="W77">
        <f>HYPERLINK("https://klasma.github.io/Logging_2560/klagomålsmail/A 59320-2025 FSC-klagomål mail.docx", "A 59320-2025")</f>
        <v/>
      </c>
      <c r="X77">
        <f>HYPERLINK("https://klasma.github.io/Logging_2560/tillsyn/A 59320-2025 tillsynsbegäran.docx", "A 59320-2025")</f>
        <v/>
      </c>
      <c r="Y77">
        <f>HYPERLINK("https://klasma.github.io/Logging_2560/tillsynsmail/A 59320-2025 tillsynsbegäran mail.docx", "A 59320-2025")</f>
        <v/>
      </c>
    </row>
    <row r="78" ht="15" customHeight="1">
      <c r="A78" t="inlineStr">
        <is>
          <t>A 60016-2025</t>
        </is>
      </c>
      <c r="B78" s="1" t="n">
        <v>45993</v>
      </c>
      <c r="C78" s="1" t="n">
        <v>46134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5.5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HYPERLINK("https://klasma.github.io/Logging_2560/artfynd/A 60016-2025 artfynd.xlsx", "A 60016-2025")</f>
        <v/>
      </c>
      <c r="T78">
        <f>HYPERLINK("https://klasma.github.io/Logging_2560/kartor/A 60016-2025 karta.png", "A 60016-2025")</f>
        <v/>
      </c>
      <c r="V78">
        <f>HYPERLINK("https://klasma.github.io/Logging_2560/klagomål/A 60016-2025 FSC-klagomål.docx", "A 60016-2025")</f>
        <v/>
      </c>
      <c r="W78">
        <f>HYPERLINK("https://klasma.github.io/Logging_2560/klagomålsmail/A 60016-2025 FSC-klagomål mail.docx", "A 60016-2025")</f>
        <v/>
      </c>
      <c r="X78">
        <f>HYPERLINK("https://klasma.github.io/Logging_2560/tillsyn/A 60016-2025 tillsynsbegäran.docx", "A 60016-2025")</f>
        <v/>
      </c>
      <c r="Y78">
        <f>HYPERLINK("https://klasma.github.io/Logging_2560/tillsynsmail/A 60016-2025 tillsynsbegäran mail.docx", "A 60016-2025")</f>
        <v/>
      </c>
    </row>
    <row r="79" ht="15" customHeight="1">
      <c r="A79" t="inlineStr">
        <is>
          <t>A 56551-2024</t>
        </is>
      </c>
      <c r="B79" s="1" t="n">
        <v>45625</v>
      </c>
      <c r="C79" s="1" t="n">
        <v>46134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HYPERLINK("https://klasma.github.io/Logging_2560/artfynd/A 56551-2024 artfynd.xlsx", "A 56551-2024")</f>
        <v/>
      </c>
      <c r="T79">
        <f>HYPERLINK("https://klasma.github.io/Logging_2560/kartor/A 56551-2024 karta.png", "A 56551-2024")</f>
        <v/>
      </c>
      <c r="V79">
        <f>HYPERLINK("https://klasma.github.io/Logging_2560/klagomål/A 56551-2024 FSC-klagomål.docx", "A 56551-2024")</f>
        <v/>
      </c>
      <c r="W79">
        <f>HYPERLINK("https://klasma.github.io/Logging_2560/klagomålsmail/A 56551-2024 FSC-klagomål mail.docx", "A 56551-2024")</f>
        <v/>
      </c>
      <c r="X79">
        <f>HYPERLINK("https://klasma.github.io/Logging_2560/tillsyn/A 56551-2024 tillsynsbegäran.docx", "A 56551-2024")</f>
        <v/>
      </c>
      <c r="Y79">
        <f>HYPERLINK("https://klasma.github.io/Logging_2560/tillsynsmail/A 56551-2024 tillsynsbegäran mail.docx", "A 56551-2024")</f>
        <v/>
      </c>
    </row>
    <row r="80" ht="15" customHeight="1">
      <c r="A80" t="inlineStr">
        <is>
          <t>A 42680-2022</t>
        </is>
      </c>
      <c r="B80" s="1" t="n">
        <v>44832.34037037037</v>
      </c>
      <c r="C80" s="1" t="n">
        <v>46134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HYPERLINK("https://klasma.github.io/Logging_2560/artfynd/A 42680-2022 artfynd.xlsx", "A 42680-2022")</f>
        <v/>
      </c>
      <c r="T80">
        <f>HYPERLINK("https://klasma.github.io/Logging_2560/kartor/A 42680-2022 karta.png", "A 42680-2022")</f>
        <v/>
      </c>
      <c r="V80">
        <f>HYPERLINK("https://klasma.github.io/Logging_2560/klagomål/A 42680-2022 FSC-klagomål.docx", "A 42680-2022")</f>
        <v/>
      </c>
      <c r="W80">
        <f>HYPERLINK("https://klasma.github.io/Logging_2560/klagomålsmail/A 42680-2022 FSC-klagomål mail.docx", "A 42680-2022")</f>
        <v/>
      </c>
      <c r="X80">
        <f>HYPERLINK("https://klasma.github.io/Logging_2560/tillsyn/A 42680-2022 tillsynsbegäran.docx", "A 42680-2022")</f>
        <v/>
      </c>
      <c r="Y80">
        <f>HYPERLINK("https://klasma.github.io/Logging_2560/tillsynsmail/A 42680-2022 tillsynsbegäran mail.docx", "A 42680-2022")</f>
        <v/>
      </c>
    </row>
    <row r="81" ht="15" customHeight="1">
      <c r="A81" t="inlineStr">
        <is>
          <t>A 6275-2024</t>
        </is>
      </c>
      <c r="B81" s="1" t="n">
        <v>45337.95472222222</v>
      </c>
      <c r="C81" s="1" t="n">
        <v>46134</v>
      </c>
      <c r="D81" t="inlineStr">
        <is>
          <t>NORRBOTTENS LÄN</t>
        </is>
      </c>
      <c r="E81" t="inlineStr">
        <is>
          <t>ÄLVSBYN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HYPERLINK("https://klasma.github.io/Logging_2560/artfynd/A 6275-2024 artfynd.xlsx", "A 6275-2024")</f>
        <v/>
      </c>
      <c r="T81">
        <f>HYPERLINK("https://klasma.github.io/Logging_2560/kartor/A 6275-2024 karta.png", "A 6275-2024")</f>
        <v/>
      </c>
      <c r="V81">
        <f>HYPERLINK("https://klasma.github.io/Logging_2560/klagomål/A 6275-2024 FSC-klagomål.docx", "A 6275-2024")</f>
        <v/>
      </c>
      <c r="W81">
        <f>HYPERLINK("https://klasma.github.io/Logging_2560/klagomålsmail/A 6275-2024 FSC-klagomål mail.docx", "A 6275-2024")</f>
        <v/>
      </c>
      <c r="X81">
        <f>HYPERLINK("https://klasma.github.io/Logging_2560/tillsyn/A 6275-2024 tillsynsbegäran.docx", "A 6275-2024")</f>
        <v/>
      </c>
      <c r="Y81">
        <f>HYPERLINK("https://klasma.github.io/Logging_2560/tillsynsmail/A 6275-2024 tillsynsbegäran mail.docx", "A 6275-2024")</f>
        <v/>
      </c>
    </row>
    <row r="82" ht="15" customHeight="1">
      <c r="A82" t="inlineStr">
        <is>
          <t>A 52266-2025</t>
        </is>
      </c>
      <c r="B82" s="1" t="n">
        <v>45953</v>
      </c>
      <c r="C82" s="1" t="n">
        <v>46134</v>
      </c>
      <c r="D82" t="inlineStr">
        <is>
          <t>NORRBOTTENS LÄN</t>
        </is>
      </c>
      <c r="E82" t="inlineStr">
        <is>
          <t>ÄLVSBYN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Vitgrynig nållav</t>
        </is>
      </c>
      <c r="S82">
        <f>HYPERLINK("https://klasma.github.io/Logging_2560/artfynd/A 52266-2025 artfynd.xlsx", "A 52266-2025")</f>
        <v/>
      </c>
      <c r="T82">
        <f>HYPERLINK("https://klasma.github.io/Logging_2560/kartor/A 52266-2025 karta.png", "A 52266-2025")</f>
        <v/>
      </c>
      <c r="V82">
        <f>HYPERLINK("https://klasma.github.io/Logging_2560/klagomål/A 52266-2025 FSC-klagomål.docx", "A 52266-2025")</f>
        <v/>
      </c>
      <c r="W82">
        <f>HYPERLINK("https://klasma.github.io/Logging_2560/klagomålsmail/A 52266-2025 FSC-klagomål mail.docx", "A 52266-2025")</f>
        <v/>
      </c>
      <c r="X82">
        <f>HYPERLINK("https://klasma.github.io/Logging_2560/tillsyn/A 52266-2025 tillsynsbegäran.docx", "A 52266-2025")</f>
        <v/>
      </c>
      <c r="Y82">
        <f>HYPERLINK("https://klasma.github.io/Logging_2560/tillsynsmail/A 52266-2025 tillsynsbegäran mail.docx", "A 52266-2025")</f>
        <v/>
      </c>
    </row>
    <row r="83" ht="15" customHeight="1">
      <c r="A83" t="inlineStr">
        <is>
          <t>A 42554-2024</t>
        </is>
      </c>
      <c r="B83" s="1" t="n">
        <v>45565</v>
      </c>
      <c r="C83" s="1" t="n">
        <v>46134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4.8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Nattviol</t>
        </is>
      </c>
      <c r="S83">
        <f>HYPERLINK("https://klasma.github.io/Logging_2560/artfynd/A 42554-2024 artfynd.xlsx", "A 42554-2024")</f>
        <v/>
      </c>
      <c r="T83">
        <f>HYPERLINK("https://klasma.github.io/Logging_2560/kartor/A 42554-2024 karta.png", "A 42554-2024")</f>
        <v/>
      </c>
      <c r="V83">
        <f>HYPERLINK("https://klasma.github.io/Logging_2560/klagomål/A 42554-2024 FSC-klagomål.docx", "A 42554-2024")</f>
        <v/>
      </c>
      <c r="W83">
        <f>HYPERLINK("https://klasma.github.io/Logging_2560/klagomålsmail/A 42554-2024 FSC-klagomål mail.docx", "A 42554-2024")</f>
        <v/>
      </c>
      <c r="X83">
        <f>HYPERLINK("https://klasma.github.io/Logging_2560/tillsyn/A 42554-2024 tillsynsbegäran.docx", "A 42554-2024")</f>
        <v/>
      </c>
      <c r="Y83">
        <f>HYPERLINK("https://klasma.github.io/Logging_2560/tillsynsmail/A 42554-2024 tillsynsbegäran mail.docx", "A 42554-2024")</f>
        <v/>
      </c>
    </row>
    <row r="84" ht="15" customHeight="1">
      <c r="A84" t="inlineStr">
        <is>
          <t>A 39828-2023</t>
        </is>
      </c>
      <c r="B84" s="1" t="n">
        <v>45168</v>
      </c>
      <c r="C84" s="1" t="n">
        <v>46134</v>
      </c>
      <c r="D84" t="inlineStr">
        <is>
          <t>NORRBOTTENS LÄN</t>
        </is>
      </c>
      <c r="E84" t="inlineStr">
        <is>
          <t>ÄLVSBYN</t>
        </is>
      </c>
      <c r="G84" t="n">
        <v>14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Korallrot</t>
        </is>
      </c>
      <c r="S84">
        <f>HYPERLINK("https://klasma.github.io/Logging_2560/artfynd/A 39828-2023 artfynd.xlsx", "A 39828-2023")</f>
        <v/>
      </c>
      <c r="T84">
        <f>HYPERLINK("https://klasma.github.io/Logging_2560/kartor/A 39828-2023 karta.png", "A 39828-2023")</f>
        <v/>
      </c>
      <c r="V84">
        <f>HYPERLINK("https://klasma.github.io/Logging_2560/klagomål/A 39828-2023 FSC-klagomål.docx", "A 39828-2023")</f>
        <v/>
      </c>
      <c r="W84">
        <f>HYPERLINK("https://klasma.github.io/Logging_2560/klagomålsmail/A 39828-2023 FSC-klagomål mail.docx", "A 39828-2023")</f>
        <v/>
      </c>
      <c r="X84">
        <f>HYPERLINK("https://klasma.github.io/Logging_2560/tillsyn/A 39828-2023 tillsynsbegäran.docx", "A 39828-2023")</f>
        <v/>
      </c>
      <c r="Y84">
        <f>HYPERLINK("https://klasma.github.io/Logging_2560/tillsynsmail/A 39828-2023 tillsynsbegäran mail.docx", "A 39828-2023")</f>
        <v/>
      </c>
    </row>
    <row r="85" ht="15" customHeight="1">
      <c r="A85" t="inlineStr">
        <is>
          <t>A 40463-2023</t>
        </is>
      </c>
      <c r="B85" s="1" t="n">
        <v>45170</v>
      </c>
      <c r="C85" s="1" t="n">
        <v>46134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5.3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HYPERLINK("https://klasma.github.io/Logging_2560/artfynd/A 40463-2023 artfynd.xlsx", "A 40463-2023")</f>
        <v/>
      </c>
      <c r="T85">
        <f>HYPERLINK("https://klasma.github.io/Logging_2560/kartor/A 40463-2023 karta.png", "A 40463-2023")</f>
        <v/>
      </c>
      <c r="V85">
        <f>HYPERLINK("https://klasma.github.io/Logging_2560/klagomål/A 40463-2023 FSC-klagomål.docx", "A 40463-2023")</f>
        <v/>
      </c>
      <c r="W85">
        <f>HYPERLINK("https://klasma.github.io/Logging_2560/klagomålsmail/A 40463-2023 FSC-klagomål mail.docx", "A 40463-2023")</f>
        <v/>
      </c>
      <c r="X85">
        <f>HYPERLINK("https://klasma.github.io/Logging_2560/tillsyn/A 40463-2023 tillsynsbegäran.docx", "A 40463-2023")</f>
        <v/>
      </c>
      <c r="Y85">
        <f>HYPERLINK("https://klasma.github.io/Logging_2560/tillsynsmail/A 40463-2023 tillsynsbegäran mail.docx", "A 40463-2023")</f>
        <v/>
      </c>
    </row>
    <row r="86" ht="15" customHeight="1">
      <c r="A86" t="inlineStr">
        <is>
          <t>A 19459-2022</t>
        </is>
      </c>
      <c r="B86" s="1" t="n">
        <v>44693.42863425926</v>
      </c>
      <c r="C86" s="1" t="n">
        <v>46134</v>
      </c>
      <c r="D86" t="inlineStr">
        <is>
          <t>NORRBOTTENS LÄN</t>
        </is>
      </c>
      <c r="E86" t="inlineStr">
        <is>
          <t>ÄLVSBYN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48103-2021</t>
        </is>
      </c>
      <c r="B87" s="1" t="n">
        <v>44449.44953703704</v>
      </c>
      <c r="C87" s="1" t="n">
        <v>46134</v>
      </c>
      <c r="D87" t="inlineStr">
        <is>
          <t>NORRBOTTENS LÄN</t>
        </is>
      </c>
      <c r="E87" t="inlineStr">
        <is>
          <t>ÄLVSBYN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46134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46134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46134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46134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46134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46134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46134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46134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46134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46134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46134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46134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46134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46134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46134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46134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46134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22098-2022</t>
        </is>
      </c>
      <c r="B105" s="1" t="n">
        <v>44711</v>
      </c>
      <c r="C105" s="1" t="n">
        <v>46134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52253-2021</t>
        </is>
      </c>
      <c r="B106" s="1" t="n">
        <v>44463</v>
      </c>
      <c r="C106" s="1" t="n">
        <v>46134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29176-2022</t>
        </is>
      </c>
      <c r="B107" s="1" t="n">
        <v>44750.53711805555</v>
      </c>
      <c r="C107" s="1" t="n">
        <v>46134</v>
      </c>
      <c r="D107" t="inlineStr">
        <is>
          <t>NORRBOTTENS LÄN</t>
        </is>
      </c>
      <c r="E107" t="inlineStr">
        <is>
          <t>ÄLVSBYN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6820-2022</t>
        </is>
      </c>
      <c r="B108" s="1" t="n">
        <v>44602</v>
      </c>
      <c r="C108" s="1" t="n">
        <v>46134</v>
      </c>
      <c r="D108" t="inlineStr">
        <is>
          <t>NORRBOTTENS LÄN</t>
        </is>
      </c>
      <c r="E108" t="inlineStr">
        <is>
          <t>ÄLVSBYN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45603-2021</t>
        </is>
      </c>
      <c r="B109" s="1" t="n">
        <v>44440.83734953704</v>
      </c>
      <c r="C109" s="1" t="n">
        <v>46134</v>
      </c>
      <c r="D109" t="inlineStr">
        <is>
          <t>NORRBOTTENS LÄN</t>
        </is>
      </c>
      <c r="E109" t="inlineStr">
        <is>
          <t>ÄLVSBYN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65410-2021</t>
        </is>
      </c>
      <c r="B110" s="1" t="n">
        <v>44515.9200462963</v>
      </c>
      <c r="C110" s="1" t="n">
        <v>46134</v>
      </c>
      <c r="D110" t="inlineStr">
        <is>
          <t>NORRBOTTENS LÄN</t>
        </is>
      </c>
      <c r="E110" t="inlineStr">
        <is>
          <t>ÄLVSBYN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39914-2022</t>
        </is>
      </c>
      <c r="B111" s="1" t="n">
        <v>44819.76788194444</v>
      </c>
      <c r="C111" s="1" t="n">
        <v>46134</v>
      </c>
      <c r="D111" t="inlineStr">
        <is>
          <t>NORRBOTTENS LÄN</t>
        </is>
      </c>
      <c r="E111" t="inlineStr">
        <is>
          <t>ÄLVSBYN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34656-2022</t>
        </is>
      </c>
      <c r="B112" s="1" t="n">
        <v>44795</v>
      </c>
      <c r="C112" s="1" t="n">
        <v>46134</v>
      </c>
      <c r="D112" t="inlineStr">
        <is>
          <t>NORRBOTTENS LÄN</t>
        </is>
      </c>
      <c r="E112" t="inlineStr">
        <is>
          <t>ÄLVSBYN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38490-2022</t>
        </is>
      </c>
      <c r="B113" s="1" t="n">
        <v>44813.55563657408</v>
      </c>
      <c r="C113" s="1" t="n">
        <v>46134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55775-2021</t>
        </is>
      </c>
      <c r="B114" s="1" t="n">
        <v>44476</v>
      </c>
      <c r="C114" s="1" t="n">
        <v>46134</v>
      </c>
      <c r="D114" t="inlineStr">
        <is>
          <t>NORRBOTTENS LÄN</t>
        </is>
      </c>
      <c r="E114" t="inlineStr">
        <is>
          <t>ÄLVSBYN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51540-2021</t>
        </is>
      </c>
      <c r="B115" s="1" t="n">
        <v>44462.40960648148</v>
      </c>
      <c r="C115" s="1" t="n">
        <v>46134</v>
      </c>
      <c r="D115" t="inlineStr">
        <is>
          <t>NORRBOTTENS LÄN</t>
        </is>
      </c>
      <c r="E115" t="inlineStr">
        <is>
          <t>ÄLVSBYN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55078-2024</t>
        </is>
      </c>
      <c r="B116" s="1" t="n">
        <v>45621</v>
      </c>
      <c r="C116" s="1" t="n">
        <v>46134</v>
      </c>
      <c r="D116" t="inlineStr">
        <is>
          <t>NORRBOTTENS LÄN</t>
        </is>
      </c>
      <c r="E116" t="inlineStr">
        <is>
          <t>ÄLVSBYN</t>
        </is>
      </c>
      <c r="F116" t="inlineStr">
        <is>
          <t>SCA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5646-2024</t>
        </is>
      </c>
      <c r="B117" s="1" t="n">
        <v>45334.62170138889</v>
      </c>
      <c r="C117" s="1" t="n">
        <v>46134</v>
      </c>
      <c r="D117" t="inlineStr">
        <is>
          <t>NORRBOTTENS LÄN</t>
        </is>
      </c>
      <c r="E117" t="inlineStr">
        <is>
          <t>ÄLVSBYN</t>
        </is>
      </c>
      <c r="G117" t="n">
        <v>13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39645-2024</t>
        </is>
      </c>
      <c r="B118" s="1" t="n">
        <v>45552.46903935185</v>
      </c>
      <c r="C118" s="1" t="n">
        <v>46134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42574-2024</t>
        </is>
      </c>
      <c r="B119" s="1" t="n">
        <v>45565.64506944444</v>
      </c>
      <c r="C119" s="1" t="n">
        <v>46134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5628-2024</t>
        </is>
      </c>
      <c r="B120" s="1" t="n">
        <v>45334</v>
      </c>
      <c r="C120" s="1" t="n">
        <v>46134</v>
      </c>
      <c r="D120" t="inlineStr">
        <is>
          <t>NORRBOTTENS LÄN</t>
        </is>
      </c>
      <c r="E120" t="inlineStr">
        <is>
          <t>ÄLVSBYN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54317-2023</t>
        </is>
      </c>
      <c r="B121" s="1" t="n">
        <v>45232</v>
      </c>
      <c r="C121" s="1" t="n">
        <v>46134</v>
      </c>
      <c r="D121" t="inlineStr">
        <is>
          <t>NORRBOTTENS LÄN</t>
        </is>
      </c>
      <c r="E121" t="inlineStr">
        <is>
          <t>ÄLVSBYN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3038-2025</t>
        </is>
      </c>
      <c r="B122" s="1" t="n">
        <v>45678</v>
      </c>
      <c r="C122" s="1" t="n">
        <v>46134</v>
      </c>
      <c r="D122" t="inlineStr">
        <is>
          <t>NORRBOTTENS LÄN</t>
        </is>
      </c>
      <c r="E122" t="inlineStr">
        <is>
          <t>ÄLVSBYN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10249-2024</t>
        </is>
      </c>
      <c r="B123" s="1" t="n">
        <v>45365.3860300926</v>
      </c>
      <c r="C123" s="1" t="n">
        <v>46134</v>
      </c>
      <c r="D123" t="inlineStr">
        <is>
          <t>NORRBOTTENS LÄN</t>
        </is>
      </c>
      <c r="E123" t="inlineStr">
        <is>
          <t>ÄLVSBYN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20253-2024</t>
        </is>
      </c>
      <c r="B124" s="1" t="n">
        <v>45434</v>
      </c>
      <c r="C124" s="1" t="n">
        <v>46134</v>
      </c>
      <c r="D124" t="inlineStr">
        <is>
          <t>NORRBOTTENS LÄN</t>
        </is>
      </c>
      <c r="E124" t="inlineStr">
        <is>
          <t>ÄLVSBYN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10434-2024</t>
        </is>
      </c>
      <c r="B125" s="1" t="n">
        <v>45365</v>
      </c>
      <c r="C125" s="1" t="n">
        <v>46134</v>
      </c>
      <c r="D125" t="inlineStr">
        <is>
          <t>NORRBOTTENS LÄN</t>
        </is>
      </c>
      <c r="E125" t="inlineStr">
        <is>
          <t>ÄLVSBYN</t>
        </is>
      </c>
      <c r="G125" t="n">
        <v>15.1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4128-2023</t>
        </is>
      </c>
      <c r="B126" s="1" t="n">
        <v>44952</v>
      </c>
      <c r="C126" s="1" t="n">
        <v>46134</v>
      </c>
      <c r="D126" t="inlineStr">
        <is>
          <t>NORRBOTTENS LÄN</t>
        </is>
      </c>
      <c r="E126" t="inlineStr">
        <is>
          <t>ÄLVSBYN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40284-2024</t>
        </is>
      </c>
      <c r="B127" s="1" t="n">
        <v>45554.66608796296</v>
      </c>
      <c r="C127" s="1" t="n">
        <v>46134</v>
      </c>
      <c r="D127" t="inlineStr">
        <is>
          <t>NORRBOTTENS LÄN</t>
        </is>
      </c>
      <c r="E127" t="inlineStr">
        <is>
          <t>ÄLVSBYN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46308-2022</t>
        </is>
      </c>
      <c r="B128" s="1" t="n">
        <v>44847</v>
      </c>
      <c r="C128" s="1" t="n">
        <v>46134</v>
      </c>
      <c r="D128" t="inlineStr">
        <is>
          <t>NORRBOTTENS LÄN</t>
        </is>
      </c>
      <c r="E128" t="inlineStr">
        <is>
          <t>ÄLVSBYN</t>
        </is>
      </c>
      <c r="G128" t="n">
        <v>18.7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58447-2023</t>
        </is>
      </c>
      <c r="B129" s="1" t="n">
        <v>45250</v>
      </c>
      <c r="C129" s="1" t="n">
        <v>46134</v>
      </c>
      <c r="D129" t="inlineStr">
        <is>
          <t>NORRBOTTENS LÄN</t>
        </is>
      </c>
      <c r="E129" t="inlineStr">
        <is>
          <t>ÄLVSBYN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25420-2024</t>
        </is>
      </c>
      <c r="B130" s="1" t="n">
        <v>45463</v>
      </c>
      <c r="C130" s="1" t="n">
        <v>46134</v>
      </c>
      <c r="D130" t="inlineStr">
        <is>
          <t>NORRBOTTENS LÄN</t>
        </is>
      </c>
      <c r="E130" t="inlineStr">
        <is>
          <t>ÄLVSBYN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27550-2024</t>
        </is>
      </c>
      <c r="B131" s="1" t="n">
        <v>45474</v>
      </c>
      <c r="C131" s="1" t="n">
        <v>46134</v>
      </c>
      <c r="D131" t="inlineStr">
        <is>
          <t>NORRBOTTENS LÄN</t>
        </is>
      </c>
      <c r="E131" t="inlineStr">
        <is>
          <t>ÄLVSBYN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62696-2023</t>
        </is>
      </c>
      <c r="B132" s="1" t="n">
        <v>45271</v>
      </c>
      <c r="C132" s="1" t="n">
        <v>46134</v>
      </c>
      <c r="D132" t="inlineStr">
        <is>
          <t>NORRBOTTENS LÄN</t>
        </is>
      </c>
      <c r="E132" t="inlineStr">
        <is>
          <t>ÄLVSBYN</t>
        </is>
      </c>
      <c r="F132" t="inlineStr">
        <is>
          <t>Övriga Aktiebolag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32905-2024</t>
        </is>
      </c>
      <c r="B133" s="1" t="n">
        <v>45516</v>
      </c>
      <c r="C133" s="1" t="n">
        <v>46134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28314-2024</t>
        </is>
      </c>
      <c r="B134" s="1" t="n">
        <v>45477</v>
      </c>
      <c r="C134" s="1" t="n">
        <v>46134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52327-2022</t>
        </is>
      </c>
      <c r="B135" s="1" t="n">
        <v>44873</v>
      </c>
      <c r="C135" s="1" t="n">
        <v>46134</v>
      </c>
      <c r="D135" t="inlineStr">
        <is>
          <t>NORRBOTTENS LÄN</t>
        </is>
      </c>
      <c r="E135" t="inlineStr">
        <is>
          <t>ÄLVSBYN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47537-2025</t>
        </is>
      </c>
      <c r="B136" s="1" t="n">
        <v>45931.34706018519</v>
      </c>
      <c r="C136" s="1" t="n">
        <v>46134</v>
      </c>
      <c r="D136" t="inlineStr">
        <is>
          <t>NORRBOTTENS LÄN</t>
        </is>
      </c>
      <c r="E136" t="inlineStr">
        <is>
          <t>ÄLVSBYN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61518-2023</t>
        </is>
      </c>
      <c r="B137" s="1" t="n">
        <v>45265.33850694444</v>
      </c>
      <c r="C137" s="1" t="n">
        <v>46134</v>
      </c>
      <c r="D137" t="inlineStr">
        <is>
          <t>NORRBOTTENS LÄN</t>
        </is>
      </c>
      <c r="E137" t="inlineStr">
        <is>
          <t>ÄLVSBYN</t>
        </is>
      </c>
      <c r="F137" t="inlineStr">
        <is>
          <t>Sveaskog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48803-2025</t>
        </is>
      </c>
      <c r="B138" s="1" t="n">
        <v>45937.34543981482</v>
      </c>
      <c r="C138" s="1" t="n">
        <v>46134</v>
      </c>
      <c r="D138" t="inlineStr">
        <is>
          <t>NORRBOTTENS LÄN</t>
        </is>
      </c>
      <c r="E138" t="inlineStr">
        <is>
          <t>ÄLVSBYN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34448-2024</t>
        </is>
      </c>
      <c r="B139" s="1" t="n">
        <v>45525</v>
      </c>
      <c r="C139" s="1" t="n">
        <v>46134</v>
      </c>
      <c r="D139" t="inlineStr">
        <is>
          <t>NORRBOTTENS LÄN</t>
        </is>
      </c>
      <c r="E139" t="inlineStr">
        <is>
          <t>ÄLVSBYN</t>
        </is>
      </c>
      <c r="F139" t="inlineStr">
        <is>
          <t>Övriga Aktiebolag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63793-2025</t>
        </is>
      </c>
      <c r="B140" s="1" t="n">
        <v>46019.79444444444</v>
      </c>
      <c r="C140" s="1" t="n">
        <v>46134</v>
      </c>
      <c r="D140" t="inlineStr">
        <is>
          <t>NORRBOTTENS LÄN</t>
        </is>
      </c>
      <c r="E140" t="inlineStr">
        <is>
          <t>ÄLVSBYN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63794-2025</t>
        </is>
      </c>
      <c r="B141" s="1" t="n">
        <v>46019.80629629629</v>
      </c>
      <c r="C141" s="1" t="n">
        <v>46134</v>
      </c>
      <c r="D141" t="inlineStr">
        <is>
          <t>NORRBOTTENS LÄN</t>
        </is>
      </c>
      <c r="E141" t="inlineStr">
        <is>
          <t>ÄLVSBYN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63795-2025</t>
        </is>
      </c>
      <c r="B142" s="1" t="n">
        <v>46019.80730324074</v>
      </c>
      <c r="C142" s="1" t="n">
        <v>46134</v>
      </c>
      <c r="D142" t="inlineStr">
        <is>
          <t>NORRBOTTENS LÄN</t>
        </is>
      </c>
      <c r="E142" t="inlineStr">
        <is>
          <t>ÄLVSBYN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48163-2025</t>
        </is>
      </c>
      <c r="B143" s="1" t="n">
        <v>45933.42769675926</v>
      </c>
      <c r="C143" s="1" t="n">
        <v>46134</v>
      </c>
      <c r="D143" t="inlineStr">
        <is>
          <t>NORRBOTTENS LÄN</t>
        </is>
      </c>
      <c r="E143" t="inlineStr">
        <is>
          <t>ÄLVSBYN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4929-2025</t>
        </is>
      </c>
      <c r="B144" s="1" t="n">
        <v>45688.68466435185</v>
      </c>
      <c r="C144" s="1" t="n">
        <v>46134</v>
      </c>
      <c r="D144" t="inlineStr">
        <is>
          <t>NORRBOTTENS LÄN</t>
        </is>
      </c>
      <c r="E144" t="inlineStr">
        <is>
          <t>ÄLVSBYN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24716-2025</t>
        </is>
      </c>
      <c r="B145" s="1" t="n">
        <v>45798.99405092592</v>
      </c>
      <c r="C145" s="1" t="n">
        <v>46134</v>
      </c>
      <c r="D145" t="inlineStr">
        <is>
          <t>NORRBOTTENS LÄN</t>
        </is>
      </c>
      <c r="E145" t="inlineStr">
        <is>
          <t>ÄLVSBYN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41989-2024</t>
        </is>
      </c>
      <c r="B146" s="1" t="n">
        <v>45561.63650462963</v>
      </c>
      <c r="C146" s="1" t="n">
        <v>46134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10066-2023</t>
        </is>
      </c>
      <c r="B147" s="1" t="n">
        <v>44985</v>
      </c>
      <c r="C147" s="1" t="n">
        <v>46134</v>
      </c>
      <c r="D147" t="inlineStr">
        <is>
          <t>NORRBOTTENS LÄN</t>
        </is>
      </c>
      <c r="E147" t="inlineStr">
        <is>
          <t>ÄLVSBYN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38707-2025</t>
        </is>
      </c>
      <c r="B148" s="1" t="n">
        <v>45885</v>
      </c>
      <c r="C148" s="1" t="n">
        <v>46134</v>
      </c>
      <c r="D148" t="inlineStr">
        <is>
          <t>NORRBOTTENS LÄN</t>
        </is>
      </c>
      <c r="E148" t="inlineStr">
        <is>
          <t>ÄLVSBYN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50744-2021</t>
        </is>
      </c>
      <c r="B149" s="1" t="n">
        <v>44460</v>
      </c>
      <c r="C149" s="1" t="n">
        <v>46134</v>
      </c>
      <c r="D149" t="inlineStr">
        <is>
          <t>NORRBOTTENS LÄN</t>
        </is>
      </c>
      <c r="E149" t="inlineStr">
        <is>
          <t>ÄLVSBYN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39020-2025</t>
        </is>
      </c>
      <c r="B150" s="1" t="n">
        <v>45888.37311342593</v>
      </c>
      <c r="C150" s="1" t="n">
        <v>46134</v>
      </c>
      <c r="D150" t="inlineStr">
        <is>
          <t>NORRBOTTENS LÄN</t>
        </is>
      </c>
      <c r="E150" t="inlineStr">
        <is>
          <t>ÄLVSBYN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57214-2022</t>
        </is>
      </c>
      <c r="B151" s="1" t="n">
        <v>44895.65135416666</v>
      </c>
      <c r="C151" s="1" t="n">
        <v>46134</v>
      </c>
      <c r="D151" t="inlineStr">
        <is>
          <t>NORRBOTTENS LÄN</t>
        </is>
      </c>
      <c r="E151" t="inlineStr">
        <is>
          <t>ÄLVSBYN</t>
        </is>
      </c>
      <c r="F151" t="inlineStr">
        <is>
          <t>Övriga Aktiebolag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57233-2022</t>
        </is>
      </c>
      <c r="B152" s="1" t="n">
        <v>44895.67405092593</v>
      </c>
      <c r="C152" s="1" t="n">
        <v>46134</v>
      </c>
      <c r="D152" t="inlineStr">
        <is>
          <t>NORRBOTTENS LÄN</t>
        </is>
      </c>
      <c r="E152" t="inlineStr">
        <is>
          <t>ÄLVSBYN</t>
        </is>
      </c>
      <c r="F152" t="inlineStr">
        <is>
          <t>Övriga Aktiebolag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25621-2025</t>
        </is>
      </c>
      <c r="B153" s="1" t="n">
        <v>45803</v>
      </c>
      <c r="C153" s="1" t="n">
        <v>46134</v>
      </c>
      <c r="D153" t="inlineStr">
        <is>
          <t>NORRBOTTENS LÄN</t>
        </is>
      </c>
      <c r="E153" t="inlineStr">
        <is>
          <t>ÄLVSBYN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31157-2025</t>
        </is>
      </c>
      <c r="B154" s="1" t="n">
        <v>45832</v>
      </c>
      <c r="C154" s="1" t="n">
        <v>46134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57139-2024</t>
        </is>
      </c>
      <c r="B155" s="1" t="n">
        <v>45629</v>
      </c>
      <c r="C155" s="1" t="n">
        <v>46134</v>
      </c>
      <c r="D155" t="inlineStr">
        <is>
          <t>NORRBOTTENS LÄN</t>
        </is>
      </c>
      <c r="E155" t="inlineStr">
        <is>
          <t>ÄLVSBYN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21548-2025</t>
        </is>
      </c>
      <c r="B156" s="1" t="n">
        <v>45782</v>
      </c>
      <c r="C156" s="1" t="n">
        <v>46134</v>
      </c>
      <c r="D156" t="inlineStr">
        <is>
          <t>NORRBOTTENS LÄN</t>
        </is>
      </c>
      <c r="E156" t="inlineStr">
        <is>
          <t>ÄLVSBYN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25622-2025</t>
        </is>
      </c>
      <c r="B157" s="1" t="n">
        <v>45803.57784722222</v>
      </c>
      <c r="C157" s="1" t="n">
        <v>46134</v>
      </c>
      <c r="D157" t="inlineStr">
        <is>
          <t>NORRBOTTENS LÄN</t>
        </is>
      </c>
      <c r="E157" t="inlineStr">
        <is>
          <t>ÄLVSBYN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21545-2025</t>
        </is>
      </c>
      <c r="B158" s="1" t="n">
        <v>45782</v>
      </c>
      <c r="C158" s="1" t="n">
        <v>46134</v>
      </c>
      <c r="D158" t="inlineStr">
        <is>
          <t>NORRBOTTENS LÄN</t>
        </is>
      </c>
      <c r="E158" t="inlineStr">
        <is>
          <t>ÄLVSBYN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25947-2025</t>
        </is>
      </c>
      <c r="B159" s="1" t="n">
        <v>45804</v>
      </c>
      <c r="C159" s="1" t="n">
        <v>46134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26083-2025</t>
        </is>
      </c>
      <c r="B160" s="1" t="n">
        <v>45805.34427083333</v>
      </c>
      <c r="C160" s="1" t="n">
        <v>46134</v>
      </c>
      <c r="D160" t="inlineStr">
        <is>
          <t>NORRBOTTENS LÄN</t>
        </is>
      </c>
      <c r="E160" t="inlineStr">
        <is>
          <t>ÄLVSBYN</t>
        </is>
      </c>
      <c r="F160" t="inlineStr">
        <is>
          <t>SCA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26595-2025</t>
        </is>
      </c>
      <c r="B161" s="1" t="n">
        <v>45808.42758101852</v>
      </c>
      <c r="C161" s="1" t="n">
        <v>46134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26599-2025</t>
        </is>
      </c>
      <c r="B162" s="1" t="n">
        <v>45808</v>
      </c>
      <c r="C162" s="1" t="n">
        <v>46134</v>
      </c>
      <c r="D162" t="inlineStr">
        <is>
          <t>NORRBOTTENS LÄN</t>
        </is>
      </c>
      <c r="E162" t="inlineStr">
        <is>
          <t>ÄLVSBYN</t>
        </is>
      </c>
      <c r="F162" t="inlineStr">
        <is>
          <t>SCA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60351-2022</t>
        </is>
      </c>
      <c r="B163" s="1" t="n">
        <v>44910</v>
      </c>
      <c r="C163" s="1" t="n">
        <v>46134</v>
      </c>
      <c r="D163" t="inlineStr">
        <is>
          <t>NORRBOTTENS LÄN</t>
        </is>
      </c>
      <c r="E163" t="inlineStr">
        <is>
          <t>ÄLVSBYN</t>
        </is>
      </c>
      <c r="G163" t="n">
        <v>23.4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39932-2025</t>
        </is>
      </c>
      <c r="B164" s="1" t="n">
        <v>45891</v>
      </c>
      <c r="C164" s="1" t="n">
        <v>46134</v>
      </c>
      <c r="D164" t="inlineStr">
        <is>
          <t>NORRBOTTENS LÄN</t>
        </is>
      </c>
      <c r="E164" t="inlineStr">
        <is>
          <t>ÄLVSBYN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55552-2024</t>
        </is>
      </c>
      <c r="B165" s="1" t="n">
        <v>45622</v>
      </c>
      <c r="C165" s="1" t="n">
        <v>46134</v>
      </c>
      <c r="D165" t="inlineStr">
        <is>
          <t>NORRBOTTENS LÄN</t>
        </is>
      </c>
      <c r="E165" t="inlineStr">
        <is>
          <t>ÄLVSBYN</t>
        </is>
      </c>
      <c r="F165" t="inlineStr">
        <is>
          <t>Övriga Aktiebolag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64471-2023</t>
        </is>
      </c>
      <c r="B166" s="1" t="n">
        <v>45280.81618055556</v>
      </c>
      <c r="C166" s="1" t="n">
        <v>46134</v>
      </c>
      <c r="D166" t="inlineStr">
        <is>
          <t>NORRBOTTENS LÄN</t>
        </is>
      </c>
      <c r="E166" t="inlineStr">
        <is>
          <t>ÄLVSBYN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51456-2023</t>
        </is>
      </c>
      <c r="B167" s="1" t="n">
        <v>45220</v>
      </c>
      <c r="C167" s="1" t="n">
        <v>46134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33823-2021</t>
        </is>
      </c>
      <c r="B168" s="1" t="n">
        <v>44378</v>
      </c>
      <c r="C168" s="1" t="n">
        <v>46134</v>
      </c>
      <c r="D168" t="inlineStr">
        <is>
          <t>NORRBOTTENS LÄN</t>
        </is>
      </c>
      <c r="E168" t="inlineStr">
        <is>
          <t>ÄLVSBYN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40359-2025</t>
        </is>
      </c>
      <c r="B169" s="1" t="n">
        <v>45895.49011574074</v>
      </c>
      <c r="C169" s="1" t="n">
        <v>46134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40506-2025</t>
        </is>
      </c>
      <c r="B170" s="1" t="n">
        <v>45896</v>
      </c>
      <c r="C170" s="1" t="n">
        <v>46134</v>
      </c>
      <c r="D170" t="inlineStr">
        <is>
          <t>NORRBOTTENS LÄN</t>
        </is>
      </c>
      <c r="E170" t="inlineStr">
        <is>
          <t>ÄLVSBYN</t>
        </is>
      </c>
      <c r="F170" t="inlineStr">
        <is>
          <t>SCA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51794-2023</t>
        </is>
      </c>
      <c r="B171" s="1" t="n">
        <v>45222.92427083333</v>
      </c>
      <c r="C171" s="1" t="n">
        <v>46134</v>
      </c>
      <c r="D171" t="inlineStr">
        <is>
          <t>NORRBOTTENS LÄN</t>
        </is>
      </c>
      <c r="E171" t="inlineStr">
        <is>
          <t>ÄLVSBYN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27280-2025</t>
        </is>
      </c>
      <c r="B172" s="1" t="n">
        <v>45812</v>
      </c>
      <c r="C172" s="1" t="n">
        <v>46134</v>
      </c>
      <c r="D172" t="inlineStr">
        <is>
          <t>NORRBOTTENS LÄN</t>
        </is>
      </c>
      <c r="E172" t="inlineStr">
        <is>
          <t>ÄLVSBYN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40509-2025</t>
        </is>
      </c>
      <c r="B173" s="1" t="n">
        <v>45896.34483796296</v>
      </c>
      <c r="C173" s="1" t="n">
        <v>46134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32202-2024</t>
        </is>
      </c>
      <c r="B174" s="1" t="n">
        <v>45511.67006944444</v>
      </c>
      <c r="C174" s="1" t="n">
        <v>46134</v>
      </c>
      <c r="D174" t="inlineStr">
        <is>
          <t>NORRBOTTENS LÄN</t>
        </is>
      </c>
      <c r="E174" t="inlineStr">
        <is>
          <t>ÄLVSBYN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41845-2024</t>
        </is>
      </c>
      <c r="B175" s="1" t="n">
        <v>45561</v>
      </c>
      <c r="C175" s="1" t="n">
        <v>46134</v>
      </c>
      <c r="D175" t="inlineStr">
        <is>
          <t>NORRBOTTENS LÄN</t>
        </is>
      </c>
      <c r="E175" t="inlineStr">
        <is>
          <t>ÄLVSBYN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41284-2025</t>
        </is>
      </c>
      <c r="B176" s="1" t="n">
        <v>45898.63592592593</v>
      </c>
      <c r="C176" s="1" t="n">
        <v>46134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1569-2026</t>
        </is>
      </c>
      <c r="B177" s="1" t="n">
        <v>46034</v>
      </c>
      <c r="C177" s="1" t="n">
        <v>46134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15389-2025</t>
        </is>
      </c>
      <c r="B178" s="1" t="n">
        <v>45747</v>
      </c>
      <c r="C178" s="1" t="n">
        <v>46134</v>
      </c>
      <c r="D178" t="inlineStr">
        <is>
          <t>NORRBOTTENS LÄN</t>
        </is>
      </c>
      <c r="E178" t="inlineStr">
        <is>
          <t>ÄLVSBYN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20243-2025</t>
        </is>
      </c>
      <c r="B179" s="1" t="n">
        <v>45772</v>
      </c>
      <c r="C179" s="1" t="n">
        <v>46134</v>
      </c>
      <c r="D179" t="inlineStr">
        <is>
          <t>NORRBOTTENS LÄN</t>
        </is>
      </c>
      <c r="E179" t="inlineStr">
        <is>
          <t>ÄLVSBYN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39604-2024</t>
        </is>
      </c>
      <c r="B180" s="1" t="n">
        <v>45552.38583333333</v>
      </c>
      <c r="C180" s="1" t="n">
        <v>46134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53644-2025</t>
        </is>
      </c>
      <c r="B181" s="1" t="n">
        <v>45960.51831018519</v>
      </c>
      <c r="C181" s="1" t="n">
        <v>46134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20753-2025</t>
        </is>
      </c>
      <c r="B182" s="1" t="n">
        <v>45776</v>
      </c>
      <c r="C182" s="1" t="n">
        <v>46134</v>
      </c>
      <c r="D182" t="inlineStr">
        <is>
          <t>NORRBOTTENS LÄN</t>
        </is>
      </c>
      <c r="E182" t="inlineStr">
        <is>
          <t>ÄLVSBYN</t>
        </is>
      </c>
      <c r="F182" t="inlineStr">
        <is>
          <t>Övriga Aktiebolag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31900-2024</t>
        </is>
      </c>
      <c r="B183" s="1" t="n">
        <v>45510.31917824074</v>
      </c>
      <c r="C183" s="1" t="n">
        <v>46134</v>
      </c>
      <c r="D183" t="inlineStr">
        <is>
          <t>NORRBOTTENS LÄN</t>
        </is>
      </c>
      <c r="E183" t="inlineStr">
        <is>
          <t>ÄLVSBYN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42141-2025</t>
        </is>
      </c>
      <c r="B184" s="1" t="n">
        <v>45904.36495370371</v>
      </c>
      <c r="C184" s="1" t="n">
        <v>46134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2751-2022</t>
        </is>
      </c>
      <c r="B185" s="1" t="n">
        <v>44580.92210648148</v>
      </c>
      <c r="C185" s="1" t="n">
        <v>46134</v>
      </c>
      <c r="D185" t="inlineStr">
        <is>
          <t>NORRBOTTENS LÄN</t>
        </is>
      </c>
      <c r="E185" t="inlineStr">
        <is>
          <t>ÄLVSBYN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29022-2025</t>
        </is>
      </c>
      <c r="B186" s="1" t="n">
        <v>45821.4296412037</v>
      </c>
      <c r="C186" s="1" t="n">
        <v>46134</v>
      </c>
      <c r="D186" t="inlineStr">
        <is>
          <t>NORRBOTTENS LÄN</t>
        </is>
      </c>
      <c r="E186" t="inlineStr">
        <is>
          <t>ÄLVSBYN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31452-2024</t>
        </is>
      </c>
      <c r="B187" s="1" t="n">
        <v>45505</v>
      </c>
      <c r="C187" s="1" t="n">
        <v>46134</v>
      </c>
      <c r="D187" t="inlineStr">
        <is>
          <t>NORRBOTTENS LÄN</t>
        </is>
      </c>
      <c r="E187" t="inlineStr">
        <is>
          <t>ÄLVSBYN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17094-2022</t>
        </is>
      </c>
      <c r="B188" s="1" t="n">
        <v>44677</v>
      </c>
      <c r="C188" s="1" t="n">
        <v>46134</v>
      </c>
      <c r="D188" t="inlineStr">
        <is>
          <t>NORRBOTTENS LÄN</t>
        </is>
      </c>
      <c r="E188" t="inlineStr">
        <is>
          <t>ÄLVSBYN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5069-2025</t>
        </is>
      </c>
      <c r="B189" s="1" t="n">
        <v>45691</v>
      </c>
      <c r="C189" s="1" t="n">
        <v>46134</v>
      </c>
      <c r="D189" t="inlineStr">
        <is>
          <t>NORRBOTTENS LÄN</t>
        </is>
      </c>
      <c r="E189" t="inlineStr">
        <is>
          <t>ÄLVSBYN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36861-2025</t>
        </is>
      </c>
      <c r="B190" s="1" t="n">
        <v>45874</v>
      </c>
      <c r="C190" s="1" t="n">
        <v>46134</v>
      </c>
      <c r="D190" t="inlineStr">
        <is>
          <t>NORRBOTTENS LÄN</t>
        </is>
      </c>
      <c r="E190" t="inlineStr">
        <is>
          <t>ÄLVSBYN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29743-2025</t>
        </is>
      </c>
      <c r="B191" s="1" t="n">
        <v>45825</v>
      </c>
      <c r="C191" s="1" t="n">
        <v>46134</v>
      </c>
      <c r="D191" t="inlineStr">
        <is>
          <t>NORRBOTTENS LÄN</t>
        </is>
      </c>
      <c r="E191" t="inlineStr">
        <is>
          <t>ÄLVSBYN</t>
        </is>
      </c>
      <c r="F191" t="inlineStr">
        <is>
          <t>Sveaskog</t>
        </is>
      </c>
      <c r="G191" t="n">
        <v>34.6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43776-2024</t>
        </is>
      </c>
      <c r="B192" s="1" t="n">
        <v>45570</v>
      </c>
      <c r="C192" s="1" t="n">
        <v>46134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42477-2024</t>
        </is>
      </c>
      <c r="B193" s="1" t="n">
        <v>45565</v>
      </c>
      <c r="C193" s="1" t="n">
        <v>46134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60403-2022</t>
        </is>
      </c>
      <c r="B194" s="1" t="n">
        <v>44910.92222222222</v>
      </c>
      <c r="C194" s="1" t="n">
        <v>46134</v>
      </c>
      <c r="D194" t="inlineStr">
        <is>
          <t>NORRBOTTENS LÄN</t>
        </is>
      </c>
      <c r="E194" t="inlineStr">
        <is>
          <t>ÄLVSBYN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30147-2025</t>
        </is>
      </c>
      <c r="B195" s="1" t="n">
        <v>45827</v>
      </c>
      <c r="C195" s="1" t="n">
        <v>46134</v>
      </c>
      <c r="D195" t="inlineStr">
        <is>
          <t>NORRBOTTENS LÄN</t>
        </is>
      </c>
      <c r="E195" t="inlineStr">
        <is>
          <t>ÄLVSBYN</t>
        </is>
      </c>
      <c r="F195" t="inlineStr">
        <is>
          <t>Sveaskog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9618-2022</t>
        </is>
      </c>
      <c r="B196" s="1" t="n">
        <v>44617</v>
      </c>
      <c r="C196" s="1" t="n">
        <v>46134</v>
      </c>
      <c r="D196" t="inlineStr">
        <is>
          <t>NORRBOTTENS LÄN</t>
        </is>
      </c>
      <c r="E196" t="inlineStr">
        <is>
          <t>ÄLVSBYN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30967-2025</t>
        </is>
      </c>
      <c r="B197" s="1" t="n">
        <v>45832.45363425926</v>
      </c>
      <c r="C197" s="1" t="n">
        <v>46134</v>
      </c>
      <c r="D197" t="inlineStr">
        <is>
          <t>NORRBOTTENS LÄN</t>
        </is>
      </c>
      <c r="E197" t="inlineStr">
        <is>
          <t>ÄLVSBYN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2595-2023</t>
        </is>
      </c>
      <c r="B198" s="1" t="n">
        <v>44943</v>
      </c>
      <c r="C198" s="1" t="n">
        <v>46134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30912-2025</t>
        </is>
      </c>
      <c r="B199" s="1" t="n">
        <v>45832.37572916667</v>
      </c>
      <c r="C199" s="1" t="n">
        <v>46134</v>
      </c>
      <c r="D199" t="inlineStr">
        <is>
          <t>NORRBOTTENS LÄN</t>
        </is>
      </c>
      <c r="E199" t="inlineStr">
        <is>
          <t>ÄLVSBYN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58919-2023</t>
        </is>
      </c>
      <c r="B200" s="1" t="n">
        <v>45252</v>
      </c>
      <c r="C200" s="1" t="n">
        <v>46134</v>
      </c>
      <c r="D200" t="inlineStr">
        <is>
          <t>NORRBOTTENS LÄN</t>
        </is>
      </c>
      <c r="E200" t="inlineStr">
        <is>
          <t>ÄLVSBYN</t>
        </is>
      </c>
      <c r="G200" t="n">
        <v>25.1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31013-2025</t>
        </is>
      </c>
      <c r="B201" s="1" t="n">
        <v>45832.50912037037</v>
      </c>
      <c r="C201" s="1" t="n">
        <v>46134</v>
      </c>
      <c r="D201" t="inlineStr">
        <is>
          <t>NORRBOTTENS LÄN</t>
        </is>
      </c>
      <c r="E201" t="inlineStr">
        <is>
          <t>ÄLVSBYN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30526-2025</t>
        </is>
      </c>
      <c r="B202" s="1" t="n">
        <v>45831.35650462963</v>
      </c>
      <c r="C202" s="1" t="n">
        <v>46134</v>
      </c>
      <c r="D202" t="inlineStr">
        <is>
          <t>NORRBOTTENS LÄN</t>
        </is>
      </c>
      <c r="E202" t="inlineStr">
        <is>
          <t>ÄLVSBYN</t>
        </is>
      </c>
      <c r="F202" t="inlineStr">
        <is>
          <t>Sveaskog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30893-2025</t>
        </is>
      </c>
      <c r="B203" s="1" t="n">
        <v>45832.34675925926</v>
      </c>
      <c r="C203" s="1" t="n">
        <v>46134</v>
      </c>
      <c r="D203" t="inlineStr">
        <is>
          <t>NORRBOTTENS LÄN</t>
        </is>
      </c>
      <c r="E203" t="inlineStr">
        <is>
          <t>ÄLVSBYN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44378-2025</t>
        </is>
      </c>
      <c r="B204" s="1" t="n">
        <v>45916.47724537037</v>
      </c>
      <c r="C204" s="1" t="n">
        <v>46134</v>
      </c>
      <c r="D204" t="inlineStr">
        <is>
          <t>NORRBOTTENS LÄN</t>
        </is>
      </c>
      <c r="E204" t="inlineStr">
        <is>
          <t>ÄLVSBYN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44409-2025</t>
        </is>
      </c>
      <c r="B205" s="1" t="n">
        <v>45916</v>
      </c>
      <c r="C205" s="1" t="n">
        <v>46134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31563-2025</t>
        </is>
      </c>
      <c r="B206" s="1" t="n">
        <v>45833.65652777778</v>
      </c>
      <c r="C206" s="1" t="n">
        <v>46134</v>
      </c>
      <c r="D206" t="inlineStr">
        <is>
          <t>NORRBOTTENS LÄN</t>
        </is>
      </c>
      <c r="E206" t="inlineStr">
        <is>
          <t>ÄLVSBYN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31565-2025</t>
        </is>
      </c>
      <c r="B207" s="1" t="n">
        <v>45833.65660879629</v>
      </c>
      <c r="C207" s="1" t="n">
        <v>46134</v>
      </c>
      <c r="D207" t="inlineStr">
        <is>
          <t>NORRBOTTENS LÄN</t>
        </is>
      </c>
      <c r="E207" t="inlineStr">
        <is>
          <t>ÄLVSBYN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44375-2025</t>
        </is>
      </c>
      <c r="B208" s="1" t="n">
        <v>45916.47452546296</v>
      </c>
      <c r="C208" s="1" t="n">
        <v>46134</v>
      </c>
      <c r="D208" t="inlineStr">
        <is>
          <t>NORRBOTTENS LÄN</t>
        </is>
      </c>
      <c r="E208" t="inlineStr">
        <is>
          <t>ÄLVSBYN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44500-2025</t>
        </is>
      </c>
      <c r="B209" s="1" t="n">
        <v>45916.67736111111</v>
      </c>
      <c r="C209" s="1" t="n">
        <v>46134</v>
      </c>
      <c r="D209" t="inlineStr">
        <is>
          <t>NORRBOTTENS LÄN</t>
        </is>
      </c>
      <c r="E209" t="inlineStr">
        <is>
          <t>ÄLVSBYN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31546-2025</t>
        </is>
      </c>
      <c r="B210" s="1" t="n">
        <v>45833.63626157407</v>
      </c>
      <c r="C210" s="1" t="n">
        <v>46134</v>
      </c>
      <c r="D210" t="inlineStr">
        <is>
          <t>NORRBOTTENS LÄN</t>
        </is>
      </c>
      <c r="E210" t="inlineStr">
        <is>
          <t>ÄLVSBYN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7266-2024</t>
        </is>
      </c>
      <c r="B211" s="1" t="n">
        <v>45344.82890046296</v>
      </c>
      <c r="C211" s="1" t="n">
        <v>46134</v>
      </c>
      <c r="D211" t="inlineStr">
        <is>
          <t>NORRBOTTENS LÄN</t>
        </is>
      </c>
      <c r="E211" t="inlineStr">
        <is>
          <t>ÄLVSBYN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45186-2025</t>
        </is>
      </c>
      <c r="B212" s="1" t="n">
        <v>45919</v>
      </c>
      <c r="C212" s="1" t="n">
        <v>46134</v>
      </c>
      <c r="D212" t="inlineStr">
        <is>
          <t>NORRBOTTENS LÄN</t>
        </is>
      </c>
      <c r="E212" t="inlineStr">
        <is>
          <t>ÄLVSBYN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45066-2025</t>
        </is>
      </c>
      <c r="B213" s="1" t="n">
        <v>45919.34554398148</v>
      </c>
      <c r="C213" s="1" t="n">
        <v>46134</v>
      </c>
      <c r="D213" t="inlineStr">
        <is>
          <t>NORRBOTTENS LÄN</t>
        </is>
      </c>
      <c r="E213" t="inlineStr">
        <is>
          <t>ÄLVSBYN</t>
        </is>
      </c>
      <c r="F213" t="inlineStr">
        <is>
          <t>SCA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45182-2025</t>
        </is>
      </c>
      <c r="B214" s="1" t="n">
        <v>45919</v>
      </c>
      <c r="C214" s="1" t="n">
        <v>46134</v>
      </c>
      <c r="D214" t="inlineStr">
        <is>
          <t>NORRBOTTENS LÄN</t>
        </is>
      </c>
      <c r="E214" t="inlineStr">
        <is>
          <t>ÄLVSBYN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45959-2025</t>
        </is>
      </c>
      <c r="B215" s="1" t="n">
        <v>45924</v>
      </c>
      <c r="C215" s="1" t="n">
        <v>46134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18958-2025</t>
        </is>
      </c>
      <c r="B216" s="1" t="n">
        <v>45764</v>
      </c>
      <c r="C216" s="1" t="n">
        <v>46134</v>
      </c>
      <c r="D216" t="inlineStr">
        <is>
          <t>NORRBOTTENS LÄN</t>
        </is>
      </c>
      <c r="E216" t="inlineStr">
        <is>
          <t>ÄLVSBYN</t>
        </is>
      </c>
      <c r="G216" t="n">
        <v>16.1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46784-2024</t>
        </is>
      </c>
      <c r="B217" s="1" t="n">
        <v>45583.52376157408</v>
      </c>
      <c r="C217" s="1" t="n">
        <v>46134</v>
      </c>
      <c r="D217" t="inlineStr">
        <is>
          <t>NORRBOTTENS LÄN</t>
        </is>
      </c>
      <c r="E217" t="inlineStr">
        <is>
          <t>ÄLVSBYN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46400-2025</t>
        </is>
      </c>
      <c r="B218" s="1" t="n">
        <v>45925.55700231482</v>
      </c>
      <c r="C218" s="1" t="n">
        <v>46134</v>
      </c>
      <c r="D218" t="inlineStr">
        <is>
          <t>NORRBOTTENS LÄN</t>
        </is>
      </c>
      <c r="E218" t="inlineStr">
        <is>
          <t>ÄLVSBYN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46392-2025</t>
        </is>
      </c>
      <c r="B219" s="1" t="n">
        <v>45925.54362268518</v>
      </c>
      <c r="C219" s="1" t="n">
        <v>46134</v>
      </c>
      <c r="D219" t="inlineStr">
        <is>
          <t>NORRBOTTENS LÄN</t>
        </is>
      </c>
      <c r="E219" t="inlineStr">
        <is>
          <t>ÄLVSBYN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46401-2025</t>
        </is>
      </c>
      <c r="B220" s="1" t="n">
        <v>45925.55935185185</v>
      </c>
      <c r="C220" s="1" t="n">
        <v>46134</v>
      </c>
      <c r="D220" t="inlineStr">
        <is>
          <t>NORRBOTTENS LÄN</t>
        </is>
      </c>
      <c r="E220" t="inlineStr">
        <is>
          <t>ÄLVSBYN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21677-2023</t>
        </is>
      </c>
      <c r="B221" s="1" t="n">
        <v>45063.94185185185</v>
      </c>
      <c r="C221" s="1" t="n">
        <v>46134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34320-2025</t>
        </is>
      </c>
      <c r="B222" s="1" t="n">
        <v>45846.42490740741</v>
      </c>
      <c r="C222" s="1" t="n">
        <v>46134</v>
      </c>
      <c r="D222" t="inlineStr">
        <is>
          <t>NORRBOTTENS LÄN</t>
        </is>
      </c>
      <c r="E222" t="inlineStr">
        <is>
          <t>ÄLVSBYN</t>
        </is>
      </c>
      <c r="F222" t="inlineStr">
        <is>
          <t>Sveaskog</t>
        </is>
      </c>
      <c r="G222" t="n">
        <v>15.2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64403-2023</t>
        </is>
      </c>
      <c r="B223" s="1" t="n">
        <v>45280.6125</v>
      </c>
      <c r="C223" s="1" t="n">
        <v>46134</v>
      </c>
      <c r="D223" t="inlineStr">
        <is>
          <t>NORRBOTTENS LÄN</t>
        </is>
      </c>
      <c r="E223" t="inlineStr">
        <is>
          <t>ÄLVSBYN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7289-2024</t>
        </is>
      </c>
      <c r="B224" s="1" t="n">
        <v>45344</v>
      </c>
      <c r="C224" s="1" t="n">
        <v>46134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46981-2025</t>
        </is>
      </c>
      <c r="B225" s="1" t="n">
        <v>45929.53166666667</v>
      </c>
      <c r="C225" s="1" t="n">
        <v>46134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25455-2022</t>
        </is>
      </c>
      <c r="B226" s="1" t="n">
        <v>44732</v>
      </c>
      <c r="C226" s="1" t="n">
        <v>46134</v>
      </c>
      <c r="D226" t="inlineStr">
        <is>
          <t>NORRBOTTENS LÄN</t>
        </is>
      </c>
      <c r="E226" t="inlineStr">
        <is>
          <t>ÄLVSBYN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47842-2025</t>
        </is>
      </c>
      <c r="B227" s="1" t="n">
        <v>45932.37545138889</v>
      </c>
      <c r="C227" s="1" t="n">
        <v>46134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37.9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47121-2022</t>
        </is>
      </c>
      <c r="B228" s="1" t="n">
        <v>44851</v>
      </c>
      <c r="C228" s="1" t="n">
        <v>46134</v>
      </c>
      <c r="D228" t="inlineStr">
        <is>
          <t>NORRBOTTENS LÄN</t>
        </is>
      </c>
      <c r="E228" t="inlineStr">
        <is>
          <t>ÄLVSBYN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47527-2025</t>
        </is>
      </c>
      <c r="B229" s="1" t="n">
        <v>45931</v>
      </c>
      <c r="C229" s="1" t="n">
        <v>46134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48287-2025</t>
        </is>
      </c>
      <c r="B230" s="1" t="n">
        <v>45933.59439814815</v>
      </c>
      <c r="C230" s="1" t="n">
        <v>46134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42505-2024</t>
        </is>
      </c>
      <c r="B231" s="1" t="n">
        <v>45565</v>
      </c>
      <c r="C231" s="1" t="n">
        <v>46134</v>
      </c>
      <c r="D231" t="inlineStr">
        <is>
          <t>NORRBOTTENS LÄN</t>
        </is>
      </c>
      <c r="E231" t="inlineStr">
        <is>
          <t>ÄLVSBYN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48522-2025</t>
        </is>
      </c>
      <c r="B232" s="1" t="n">
        <v>45936</v>
      </c>
      <c r="C232" s="1" t="n">
        <v>46134</v>
      </c>
      <c r="D232" t="inlineStr">
        <is>
          <t>NORRBOTTENS LÄN</t>
        </is>
      </c>
      <c r="E232" t="inlineStr">
        <is>
          <t>ÄLVSBYN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48236-2025</t>
        </is>
      </c>
      <c r="B233" s="1" t="n">
        <v>45933</v>
      </c>
      <c r="C233" s="1" t="n">
        <v>46134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35836-2025</t>
        </is>
      </c>
      <c r="B234" s="1" t="n">
        <v>45861</v>
      </c>
      <c r="C234" s="1" t="n">
        <v>46134</v>
      </c>
      <c r="D234" t="inlineStr">
        <is>
          <t>NORRBOTTENS LÄN</t>
        </is>
      </c>
      <c r="E234" t="inlineStr">
        <is>
          <t>ÄLVSBYN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35802-2025</t>
        </is>
      </c>
      <c r="B235" s="1" t="n">
        <v>45861.38800925926</v>
      </c>
      <c r="C235" s="1" t="n">
        <v>46134</v>
      </c>
      <c r="D235" t="inlineStr">
        <is>
          <t>NORRBOTTENS LÄN</t>
        </is>
      </c>
      <c r="E235" t="inlineStr">
        <is>
          <t>ÄLVSBYN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27277-2022</t>
        </is>
      </c>
      <c r="B236" s="1" t="n">
        <v>44741.92667824074</v>
      </c>
      <c r="C236" s="1" t="n">
        <v>46134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35803-2025</t>
        </is>
      </c>
      <c r="B237" s="1" t="n">
        <v>45861</v>
      </c>
      <c r="C237" s="1" t="n">
        <v>46134</v>
      </c>
      <c r="D237" t="inlineStr">
        <is>
          <t>NORRBOTTENS LÄN</t>
        </is>
      </c>
      <c r="E237" t="inlineStr">
        <is>
          <t>ÄLVSBYN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51912-2021</t>
        </is>
      </c>
      <c r="B238" s="1" t="n">
        <v>44462</v>
      </c>
      <c r="C238" s="1" t="n">
        <v>46134</v>
      </c>
      <c r="D238" t="inlineStr">
        <is>
          <t>NORRBOTTENS LÄN</t>
        </is>
      </c>
      <c r="E238" t="inlineStr">
        <is>
          <t>ÄLVSBYN</t>
        </is>
      </c>
      <c r="G238" t="n">
        <v>26.5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33336-2024</t>
        </is>
      </c>
      <c r="B239" s="1" t="n">
        <v>45519.31964120371</v>
      </c>
      <c r="C239" s="1" t="n">
        <v>46134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30753-2025</t>
        </is>
      </c>
      <c r="B240" s="1" t="n">
        <v>45831</v>
      </c>
      <c r="C240" s="1" t="n">
        <v>46134</v>
      </c>
      <c r="D240" t="inlineStr">
        <is>
          <t>NORRBOTTENS LÄN</t>
        </is>
      </c>
      <c r="E240" t="inlineStr">
        <is>
          <t>ÄLVSBYN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49395-2025</t>
        </is>
      </c>
      <c r="B241" s="1" t="n">
        <v>45938</v>
      </c>
      <c r="C241" s="1" t="n">
        <v>46134</v>
      </c>
      <c r="D241" t="inlineStr">
        <is>
          <t>NORRBOTTENS LÄN</t>
        </is>
      </c>
      <c r="E241" t="inlineStr">
        <is>
          <t>ÄLVSBYN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49323-2025</t>
        </is>
      </c>
      <c r="B242" s="1" t="n">
        <v>45938.57365740741</v>
      </c>
      <c r="C242" s="1" t="n">
        <v>46134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49398-2025</t>
        </is>
      </c>
      <c r="B243" s="1" t="n">
        <v>45938</v>
      </c>
      <c r="C243" s="1" t="n">
        <v>46134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49402-2025</t>
        </is>
      </c>
      <c r="B244" s="1" t="n">
        <v>45938</v>
      </c>
      <c r="C244" s="1" t="n">
        <v>46134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49151-2025</t>
        </is>
      </c>
      <c r="B245" s="1" t="n">
        <v>45938.34246527778</v>
      </c>
      <c r="C245" s="1" t="n">
        <v>46134</v>
      </c>
      <c r="D245" t="inlineStr">
        <is>
          <t>NORRBOTTENS LÄN</t>
        </is>
      </c>
      <c r="E245" t="inlineStr">
        <is>
          <t>ÄLVSBYN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48846-2025</t>
        </is>
      </c>
      <c r="B246" s="1" t="n">
        <v>45937</v>
      </c>
      <c r="C246" s="1" t="n">
        <v>46134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36536-2025</t>
        </is>
      </c>
      <c r="B247" s="1" t="n">
        <v>45869</v>
      </c>
      <c r="C247" s="1" t="n">
        <v>46134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16.4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20158-2025</t>
        </is>
      </c>
      <c r="B248" s="1" t="n">
        <v>45772</v>
      </c>
      <c r="C248" s="1" t="n">
        <v>46134</v>
      </c>
      <c r="D248" t="inlineStr">
        <is>
          <t>NORRBOTTENS LÄN</t>
        </is>
      </c>
      <c r="E248" t="inlineStr">
        <is>
          <t>ÄLVSBYN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8550-2025</t>
        </is>
      </c>
      <c r="B249" s="1" t="n">
        <v>45709</v>
      </c>
      <c r="C249" s="1" t="n">
        <v>46134</v>
      </c>
      <c r="D249" t="inlineStr">
        <is>
          <t>NORRBOTTENS LÄN</t>
        </is>
      </c>
      <c r="E249" t="inlineStr">
        <is>
          <t>ÄLVSBYN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36464-2025</t>
        </is>
      </c>
      <c r="B250" s="1" t="n">
        <v>45869.46420138889</v>
      </c>
      <c r="C250" s="1" t="n">
        <v>46134</v>
      </c>
      <c r="D250" t="inlineStr">
        <is>
          <t>NORRBOTTENS LÄN</t>
        </is>
      </c>
      <c r="E250" t="inlineStr">
        <is>
          <t>ÄLVSBYN</t>
        </is>
      </c>
      <c r="G250" t="n">
        <v>10.6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36490-2025</t>
        </is>
      </c>
      <c r="B251" s="1" t="n">
        <v>45869</v>
      </c>
      <c r="C251" s="1" t="n">
        <v>46134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20.1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36929-2025</t>
        </is>
      </c>
      <c r="B252" s="1" t="n">
        <v>45874</v>
      </c>
      <c r="C252" s="1" t="n">
        <v>46134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21.8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5333-2026</t>
        </is>
      </c>
      <c r="B253" s="1" t="n">
        <v>46050.40673611111</v>
      </c>
      <c r="C253" s="1" t="n">
        <v>46134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36756-2025</t>
        </is>
      </c>
      <c r="B254" s="1" t="n">
        <v>45873</v>
      </c>
      <c r="C254" s="1" t="n">
        <v>46134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32952-2024</t>
        </is>
      </c>
      <c r="B255" s="1" t="n">
        <v>45517</v>
      </c>
      <c r="C255" s="1" t="n">
        <v>46134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30555-2025</t>
        </is>
      </c>
      <c r="B256" s="1" t="n">
        <v>45831.38609953703</v>
      </c>
      <c r="C256" s="1" t="n">
        <v>46134</v>
      </c>
      <c r="D256" t="inlineStr">
        <is>
          <t>NORRBOTTENS LÄN</t>
        </is>
      </c>
      <c r="E256" t="inlineStr">
        <is>
          <t>ÄLVSBYN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36758-2025</t>
        </is>
      </c>
      <c r="B257" s="1" t="n">
        <v>45873</v>
      </c>
      <c r="C257" s="1" t="n">
        <v>46134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32195-2024</t>
        </is>
      </c>
      <c r="B258" s="1" t="n">
        <v>45511</v>
      </c>
      <c r="C258" s="1" t="n">
        <v>46134</v>
      </c>
      <c r="D258" t="inlineStr">
        <is>
          <t>NORRBOTTENS LÄN</t>
        </is>
      </c>
      <c r="E258" t="inlineStr">
        <is>
          <t>ÄLVSBYN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50778-2025</t>
        </is>
      </c>
      <c r="B259" s="1" t="n">
        <v>45946.45390046296</v>
      </c>
      <c r="C259" s="1" t="n">
        <v>46134</v>
      </c>
      <c r="D259" t="inlineStr">
        <is>
          <t>NORRBOTTENS LÄN</t>
        </is>
      </c>
      <c r="E259" t="inlineStr">
        <is>
          <t>ÄLVSBYN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58007-2024</t>
        </is>
      </c>
      <c r="B260" s="1" t="n">
        <v>45631</v>
      </c>
      <c r="C260" s="1" t="n">
        <v>46134</v>
      </c>
      <c r="D260" t="inlineStr">
        <is>
          <t>NORRBOTTENS LÄN</t>
        </is>
      </c>
      <c r="E260" t="inlineStr">
        <is>
          <t>ÄLVSBYN</t>
        </is>
      </c>
      <c r="G260" t="n">
        <v>11.3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50467-2025</t>
        </is>
      </c>
      <c r="B261" s="1" t="n">
        <v>45945.35767361111</v>
      </c>
      <c r="C261" s="1" t="n">
        <v>46134</v>
      </c>
      <c r="D261" t="inlineStr">
        <is>
          <t>NORRBOTTENS LÄN</t>
        </is>
      </c>
      <c r="E261" t="inlineStr">
        <is>
          <t>ÄLVSBYN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62406-2023</t>
        </is>
      </c>
      <c r="B262" s="1" t="n">
        <v>45266</v>
      </c>
      <c r="C262" s="1" t="n">
        <v>46134</v>
      </c>
      <c r="D262" t="inlineStr">
        <is>
          <t>NORRBOTTENS LÄN</t>
        </is>
      </c>
      <c r="E262" t="inlineStr">
        <is>
          <t>ÄLVSBYN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39005-2023</t>
        </is>
      </c>
      <c r="B263" s="1" t="n">
        <v>45162</v>
      </c>
      <c r="C263" s="1" t="n">
        <v>46134</v>
      </c>
      <c r="D263" t="inlineStr">
        <is>
          <t>NORRBOTTENS LÄN</t>
        </is>
      </c>
      <c r="E263" t="inlineStr">
        <is>
          <t>ÄLVSBYN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42558-2024</t>
        </is>
      </c>
      <c r="B264" s="1" t="n">
        <v>45565</v>
      </c>
      <c r="C264" s="1" t="n">
        <v>46134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51068-2025</t>
        </is>
      </c>
      <c r="B265" s="1" t="n">
        <v>45947</v>
      </c>
      <c r="C265" s="1" t="n">
        <v>46134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61619-2024</t>
        </is>
      </c>
      <c r="B266" s="1" t="n">
        <v>45646.65796296296</v>
      </c>
      <c r="C266" s="1" t="n">
        <v>46134</v>
      </c>
      <c r="D266" t="inlineStr">
        <is>
          <t>NORRBOTTENS LÄN</t>
        </is>
      </c>
      <c r="E266" t="inlineStr">
        <is>
          <t>ÄLVSBYN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8334-2025</t>
        </is>
      </c>
      <c r="B267" s="1" t="n">
        <v>45708</v>
      </c>
      <c r="C267" s="1" t="n">
        <v>46134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20237-2025</t>
        </is>
      </c>
      <c r="B268" s="1" t="n">
        <v>45772</v>
      </c>
      <c r="C268" s="1" t="n">
        <v>46134</v>
      </c>
      <c r="D268" t="inlineStr">
        <is>
          <t>NORRBOTTENS LÄN</t>
        </is>
      </c>
      <c r="E268" t="inlineStr">
        <is>
          <t>ÄLVSBYN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51366-2025</t>
        </is>
      </c>
      <c r="B269" s="1" t="n">
        <v>45950</v>
      </c>
      <c r="C269" s="1" t="n">
        <v>46134</v>
      </c>
      <c r="D269" t="inlineStr">
        <is>
          <t>NORRBOTTENS LÄN</t>
        </is>
      </c>
      <c r="E269" t="inlineStr">
        <is>
          <t>ÄLVSBYN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51163-2025</t>
        </is>
      </c>
      <c r="B270" s="1" t="n">
        <v>45947.594375</v>
      </c>
      <c r="C270" s="1" t="n">
        <v>46134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25102-2023</t>
        </is>
      </c>
      <c r="B271" s="1" t="n">
        <v>45078</v>
      </c>
      <c r="C271" s="1" t="n">
        <v>46134</v>
      </c>
      <c r="D271" t="inlineStr">
        <is>
          <t>NORRBOTTENS LÄN</t>
        </is>
      </c>
      <c r="E271" t="inlineStr">
        <is>
          <t>ÄLVSBYN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20187-2025</t>
        </is>
      </c>
      <c r="B272" s="1" t="n">
        <v>45772</v>
      </c>
      <c r="C272" s="1" t="n">
        <v>46134</v>
      </c>
      <c r="D272" t="inlineStr">
        <is>
          <t>NORRBOTTENS LÄN</t>
        </is>
      </c>
      <c r="E272" t="inlineStr">
        <is>
          <t>ÄLVSBYN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58309-2024</t>
        </is>
      </c>
      <c r="B273" s="1" t="n">
        <v>45632</v>
      </c>
      <c r="C273" s="1" t="n">
        <v>46134</v>
      </c>
      <c r="D273" t="inlineStr">
        <is>
          <t>NORRBOTTENS LÄN</t>
        </is>
      </c>
      <c r="E273" t="inlineStr">
        <is>
          <t>ÄLVSBYN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38079-2025</t>
        </is>
      </c>
      <c r="B274" s="1" t="n">
        <v>45882</v>
      </c>
      <c r="C274" s="1" t="n">
        <v>46134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60581-2024</t>
        </is>
      </c>
      <c r="B275" s="1" t="n">
        <v>45642</v>
      </c>
      <c r="C275" s="1" t="n">
        <v>46134</v>
      </c>
      <c r="D275" t="inlineStr">
        <is>
          <t>NORRBOTTENS LÄN</t>
        </is>
      </c>
      <c r="E275" t="inlineStr">
        <is>
          <t>ÄLVSBYN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51962-2025</t>
        </is>
      </c>
      <c r="B276" s="1" t="n">
        <v>45952.55248842593</v>
      </c>
      <c r="C276" s="1" t="n">
        <v>46134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52265-2025</t>
        </is>
      </c>
      <c r="B277" s="1" t="n">
        <v>45953.53173611111</v>
      </c>
      <c r="C277" s="1" t="n">
        <v>46134</v>
      </c>
      <c r="D277" t="inlineStr">
        <is>
          <t>NORRBOTTENS LÄN</t>
        </is>
      </c>
      <c r="E277" t="inlineStr">
        <is>
          <t>ÄLVSBYN</t>
        </is>
      </c>
      <c r="F277" t="inlineStr">
        <is>
          <t>SCA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52985-2025</t>
        </is>
      </c>
      <c r="B278" s="1" t="n">
        <v>45957.69834490741</v>
      </c>
      <c r="C278" s="1" t="n">
        <v>46134</v>
      </c>
      <c r="D278" t="inlineStr">
        <is>
          <t>NORRBOTTENS LÄN</t>
        </is>
      </c>
      <c r="E278" t="inlineStr">
        <is>
          <t>ÄLVSBYN</t>
        </is>
      </c>
      <c r="F278" t="inlineStr">
        <is>
          <t>SCA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52683-2025</t>
        </is>
      </c>
      <c r="B279" s="1" t="n">
        <v>45956.34509259259</v>
      </c>
      <c r="C279" s="1" t="n">
        <v>46134</v>
      </c>
      <c r="D279" t="inlineStr">
        <is>
          <t>NORRBOTTENS LÄN</t>
        </is>
      </c>
      <c r="E279" t="inlineStr">
        <is>
          <t>ÄLVSBYN</t>
        </is>
      </c>
      <c r="F279" t="inlineStr">
        <is>
          <t>SCA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50746-2021</t>
        </is>
      </c>
      <c r="B280" s="1" t="n">
        <v>44460</v>
      </c>
      <c r="C280" s="1" t="n">
        <v>46134</v>
      </c>
      <c r="D280" t="inlineStr">
        <is>
          <t>NORRBOTTENS LÄN</t>
        </is>
      </c>
      <c r="E280" t="inlineStr">
        <is>
          <t>ÄLVSBYN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52878-2025</t>
        </is>
      </c>
      <c r="B281" s="1" t="n">
        <v>45957</v>
      </c>
      <c r="C281" s="1" t="n">
        <v>46134</v>
      </c>
      <c r="D281" t="inlineStr">
        <is>
          <t>NORRBOTTENS LÄN</t>
        </is>
      </c>
      <c r="E281" t="inlineStr">
        <is>
          <t>ÄLVSBYN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52868-2025</t>
        </is>
      </c>
      <c r="B282" s="1" t="n">
        <v>45957</v>
      </c>
      <c r="C282" s="1" t="n">
        <v>46134</v>
      </c>
      <c r="D282" t="inlineStr">
        <is>
          <t>NORRBOTTENS LÄN</t>
        </is>
      </c>
      <c r="E282" t="inlineStr">
        <is>
          <t>ÄLVSBYN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53672-2025</t>
        </is>
      </c>
      <c r="B283" s="1" t="n">
        <v>45960</v>
      </c>
      <c r="C283" s="1" t="n">
        <v>46134</v>
      </c>
      <c r="D283" t="inlineStr">
        <is>
          <t>NORRBOTTENS LÄN</t>
        </is>
      </c>
      <c r="E283" t="inlineStr">
        <is>
          <t>ÄLVSBYN</t>
        </is>
      </c>
      <c r="F283" t="inlineStr">
        <is>
          <t>SCA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53624-2025</t>
        </is>
      </c>
      <c r="B284" s="1" t="n">
        <v>45960</v>
      </c>
      <c r="C284" s="1" t="n">
        <v>46134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53648-2025</t>
        </is>
      </c>
      <c r="B285" s="1" t="n">
        <v>45960.52081018518</v>
      </c>
      <c r="C285" s="1" t="n">
        <v>46134</v>
      </c>
      <c r="D285" t="inlineStr">
        <is>
          <t>NORRBOTTENS LÄN</t>
        </is>
      </c>
      <c r="E285" t="inlineStr">
        <is>
          <t>ÄLVSBYN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23136-2024</t>
        </is>
      </c>
      <c r="B286" s="1" t="n">
        <v>45450</v>
      </c>
      <c r="C286" s="1" t="n">
        <v>46134</v>
      </c>
      <c r="D286" t="inlineStr">
        <is>
          <t>NORRBOTTENS LÄN</t>
        </is>
      </c>
      <c r="E286" t="inlineStr">
        <is>
          <t>ÄLVSBYN</t>
        </is>
      </c>
      <c r="F286" t="inlineStr">
        <is>
          <t>Sveaskog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53638-2025</t>
        </is>
      </c>
      <c r="B287" s="1" t="n">
        <v>45960.50393518519</v>
      </c>
      <c r="C287" s="1" t="n">
        <v>46134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53957-2025</t>
        </is>
      </c>
      <c r="B288" s="1" t="n">
        <v>45961</v>
      </c>
      <c r="C288" s="1" t="n">
        <v>46134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40560-2022</t>
        </is>
      </c>
      <c r="B289" s="1" t="n">
        <v>44823.66949074074</v>
      </c>
      <c r="C289" s="1" t="n">
        <v>46134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53840-2025</t>
        </is>
      </c>
      <c r="B290" s="1" t="n">
        <v>45961.35986111111</v>
      </c>
      <c r="C290" s="1" t="n">
        <v>46134</v>
      </c>
      <c r="D290" t="inlineStr">
        <is>
          <t>NORRBOTTENS LÄN</t>
        </is>
      </c>
      <c r="E290" t="inlineStr">
        <is>
          <t>ÄLVSBYN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54175-2025</t>
        </is>
      </c>
      <c r="B291" s="1" t="n">
        <v>45964.54909722223</v>
      </c>
      <c r="C291" s="1" t="n">
        <v>46134</v>
      </c>
      <c r="D291" t="inlineStr">
        <is>
          <t>NORRBOTTENS LÄN</t>
        </is>
      </c>
      <c r="E291" t="inlineStr">
        <is>
          <t>ÄLVSBYN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8549-2025</t>
        </is>
      </c>
      <c r="B292" s="1" t="n">
        <v>45709</v>
      </c>
      <c r="C292" s="1" t="n">
        <v>46134</v>
      </c>
      <c r="D292" t="inlineStr">
        <is>
          <t>NORRBOTTENS LÄN</t>
        </is>
      </c>
      <c r="E292" t="inlineStr">
        <is>
          <t>ÄLVSBYN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8552-2025</t>
        </is>
      </c>
      <c r="B293" s="1" t="n">
        <v>45709</v>
      </c>
      <c r="C293" s="1" t="n">
        <v>46134</v>
      </c>
      <c r="D293" t="inlineStr">
        <is>
          <t>NORRBOTTENS LÄN</t>
        </is>
      </c>
      <c r="E293" t="inlineStr">
        <is>
          <t>ÄLVSBYN</t>
        </is>
      </c>
      <c r="G293" t="n">
        <v>10.7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8553-2025</t>
        </is>
      </c>
      <c r="B294" s="1" t="n">
        <v>45709</v>
      </c>
      <c r="C294" s="1" t="n">
        <v>46134</v>
      </c>
      <c r="D294" t="inlineStr">
        <is>
          <t>NORRBOTTENS LÄN</t>
        </is>
      </c>
      <c r="E294" t="inlineStr">
        <is>
          <t>ÄLVSBYN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6366-2026</t>
        </is>
      </c>
      <c r="B295" s="1" t="n">
        <v>46055.62548611111</v>
      </c>
      <c r="C295" s="1" t="n">
        <v>46134</v>
      </c>
      <c r="D295" t="inlineStr">
        <is>
          <t>NORRBOTTENS LÄN</t>
        </is>
      </c>
      <c r="E295" t="inlineStr">
        <is>
          <t>ÄLVSBYN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60030-2021</t>
        </is>
      </c>
      <c r="B296" s="1" t="n">
        <v>44494</v>
      </c>
      <c r="C296" s="1" t="n">
        <v>46134</v>
      </c>
      <c r="D296" t="inlineStr">
        <is>
          <t>NORRBOTTENS LÄN</t>
        </is>
      </c>
      <c r="E296" t="inlineStr">
        <is>
          <t>ÄLVSBYN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19142-2023</t>
        </is>
      </c>
      <c r="B297" s="1" t="n">
        <v>45044</v>
      </c>
      <c r="C297" s="1" t="n">
        <v>46134</v>
      </c>
      <c r="D297" t="inlineStr">
        <is>
          <t>NORRBOTTENS LÄN</t>
        </is>
      </c>
      <c r="E297" t="inlineStr">
        <is>
          <t>ÄLVSBYN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55635-2025</t>
        </is>
      </c>
      <c r="B298" s="1" t="n">
        <v>45972.34483796296</v>
      </c>
      <c r="C298" s="1" t="n">
        <v>46134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55809-2025</t>
        </is>
      </c>
      <c r="B299" s="1" t="n">
        <v>45972.67854166667</v>
      </c>
      <c r="C299" s="1" t="n">
        <v>46134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56260-2025</t>
        </is>
      </c>
      <c r="B300" s="1" t="n">
        <v>45974.56701388889</v>
      </c>
      <c r="C300" s="1" t="n">
        <v>46134</v>
      </c>
      <c r="D300" t="inlineStr">
        <is>
          <t>NORRBOTTENS LÄN</t>
        </is>
      </c>
      <c r="E300" t="inlineStr">
        <is>
          <t>ÄLVSBYN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37731-2022</t>
        </is>
      </c>
      <c r="B301" s="1" t="n">
        <v>44810.57025462963</v>
      </c>
      <c r="C301" s="1" t="n">
        <v>46134</v>
      </c>
      <c r="D301" t="inlineStr">
        <is>
          <t>NORRBOTTENS LÄN</t>
        </is>
      </c>
      <c r="E301" t="inlineStr">
        <is>
          <t>ÄLVSBYN</t>
        </is>
      </c>
      <c r="F301" t="inlineStr">
        <is>
          <t>Sveaskog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55850-2025</t>
        </is>
      </c>
      <c r="B302" s="1" t="n">
        <v>45973</v>
      </c>
      <c r="C302" s="1" t="n">
        <v>46134</v>
      </c>
      <c r="D302" t="inlineStr">
        <is>
          <t>NORRBOTTENS LÄN</t>
        </is>
      </c>
      <c r="E302" t="inlineStr">
        <is>
          <t>ÄLVSBYN</t>
        </is>
      </c>
      <c r="F302" t="inlineStr">
        <is>
          <t>Sveaskog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56245-2025</t>
        </is>
      </c>
      <c r="B303" s="1" t="n">
        <v>45974.55252314815</v>
      </c>
      <c r="C303" s="1" t="n">
        <v>46134</v>
      </c>
      <c r="D303" t="inlineStr">
        <is>
          <t>NORRBOTTENS LÄN</t>
        </is>
      </c>
      <c r="E303" t="inlineStr">
        <is>
          <t>ÄLVSBYN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56246-2025</t>
        </is>
      </c>
      <c r="B304" s="1" t="n">
        <v>45974</v>
      </c>
      <c r="C304" s="1" t="n">
        <v>46134</v>
      </c>
      <c r="D304" t="inlineStr">
        <is>
          <t>NORRBOTTENS LÄN</t>
        </is>
      </c>
      <c r="E304" t="inlineStr">
        <is>
          <t>ÄLVSBYN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56257-2025</t>
        </is>
      </c>
      <c r="B305" s="1" t="n">
        <v>45974.56496527778</v>
      </c>
      <c r="C305" s="1" t="n">
        <v>46134</v>
      </c>
      <c r="D305" t="inlineStr">
        <is>
          <t>NORRBOTTENS LÄN</t>
        </is>
      </c>
      <c r="E305" t="inlineStr">
        <is>
          <t>ÄLVSBYN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47695-2021</t>
        </is>
      </c>
      <c r="B306" s="1" t="n">
        <v>44448</v>
      </c>
      <c r="C306" s="1" t="n">
        <v>46134</v>
      </c>
      <c r="D306" t="inlineStr">
        <is>
          <t>NORRBOTTENS LÄN</t>
        </is>
      </c>
      <c r="E306" t="inlineStr">
        <is>
          <t>ÄLVSBYN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56627-2025</t>
        </is>
      </c>
      <c r="B307" s="1" t="n">
        <v>45975</v>
      </c>
      <c r="C307" s="1" t="n">
        <v>46134</v>
      </c>
      <c r="D307" t="inlineStr">
        <is>
          <t>NORRBOTTENS LÄN</t>
        </is>
      </c>
      <c r="E307" t="inlineStr">
        <is>
          <t>ÄLVSBYN</t>
        </is>
      </c>
      <c r="F307" t="inlineStr">
        <is>
          <t>Sveaskog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56532-2025</t>
        </is>
      </c>
      <c r="B308" s="1" t="n">
        <v>45975.46935185185</v>
      </c>
      <c r="C308" s="1" t="n">
        <v>46134</v>
      </c>
      <c r="D308" t="inlineStr">
        <is>
          <t>NORRBOTTENS LÄN</t>
        </is>
      </c>
      <c r="E308" t="inlineStr">
        <is>
          <t>ÄLVSBYN</t>
        </is>
      </c>
      <c r="F308" t="inlineStr">
        <is>
          <t>SCA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29638-2023</t>
        </is>
      </c>
      <c r="B309" s="1" t="n">
        <v>45098</v>
      </c>
      <c r="C309" s="1" t="n">
        <v>46134</v>
      </c>
      <c r="D309" t="inlineStr">
        <is>
          <t>NORRBOTTENS LÄN</t>
        </is>
      </c>
      <c r="E309" t="inlineStr">
        <is>
          <t>ÄLVSBYN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57045-2025</t>
        </is>
      </c>
      <c r="B310" s="1" t="n">
        <v>45979</v>
      </c>
      <c r="C310" s="1" t="n">
        <v>46134</v>
      </c>
      <c r="D310" t="inlineStr">
        <is>
          <t>NORRBOTTENS LÄN</t>
        </is>
      </c>
      <c r="E310" t="inlineStr">
        <is>
          <t>ÄLVSBYN</t>
        </is>
      </c>
      <c r="F310" t="inlineStr">
        <is>
          <t>SCA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57043-2025</t>
        </is>
      </c>
      <c r="B311" s="1" t="n">
        <v>45979.34614583333</v>
      </c>
      <c r="C311" s="1" t="n">
        <v>46134</v>
      </c>
      <c r="D311" t="inlineStr">
        <is>
          <t>NORRBOTTENS LÄN</t>
        </is>
      </c>
      <c r="E311" t="inlineStr">
        <is>
          <t>ÄLVSBYN</t>
        </is>
      </c>
      <c r="F311" t="inlineStr">
        <is>
          <t>SCA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57067-2025</t>
        </is>
      </c>
      <c r="B312" s="1" t="n">
        <v>45979</v>
      </c>
      <c r="C312" s="1" t="n">
        <v>46134</v>
      </c>
      <c r="D312" t="inlineStr">
        <is>
          <t>NORRBOTTENS LÄN</t>
        </is>
      </c>
      <c r="E312" t="inlineStr">
        <is>
          <t>ÄLVSBYN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15180-2025</t>
        </is>
      </c>
      <c r="B313" s="1" t="n">
        <v>45744.52540509259</v>
      </c>
      <c r="C313" s="1" t="n">
        <v>46134</v>
      </c>
      <c r="D313" t="inlineStr">
        <is>
          <t>NORRBOTTENS LÄN</t>
        </is>
      </c>
      <c r="E313" t="inlineStr">
        <is>
          <t>ÄLVSBYN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5650-2024</t>
        </is>
      </c>
      <c r="B314" s="1" t="n">
        <v>45334</v>
      </c>
      <c r="C314" s="1" t="n">
        <v>46134</v>
      </c>
      <c r="D314" t="inlineStr">
        <is>
          <t>NORRBOTTENS LÄN</t>
        </is>
      </c>
      <c r="E314" t="inlineStr">
        <is>
          <t>ÄLVSBYN</t>
        </is>
      </c>
      <c r="G314" t="n">
        <v>11.8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57331-2025</t>
        </is>
      </c>
      <c r="B315" s="1" t="n">
        <v>45980</v>
      </c>
      <c r="C315" s="1" t="n">
        <v>46134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7124-2026</t>
        </is>
      </c>
      <c r="B316" s="1" t="n">
        <v>46058.38621527778</v>
      </c>
      <c r="C316" s="1" t="n">
        <v>46134</v>
      </c>
      <c r="D316" t="inlineStr">
        <is>
          <t>NORRBOTTENS LÄN</t>
        </is>
      </c>
      <c r="E316" t="inlineStr">
        <is>
          <t>ÄLVSBYN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57066-2025</t>
        </is>
      </c>
      <c r="B317" s="1" t="n">
        <v>45979</v>
      </c>
      <c r="C317" s="1" t="n">
        <v>46134</v>
      </c>
      <c r="D317" t="inlineStr">
        <is>
          <t>NORRBOTTENS LÄN</t>
        </is>
      </c>
      <c r="E317" t="inlineStr">
        <is>
          <t>ÄLVSBYN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6825-2023</t>
        </is>
      </c>
      <c r="B318" s="1" t="n">
        <v>44967.40280092593</v>
      </c>
      <c r="C318" s="1" t="n">
        <v>46134</v>
      </c>
      <c r="D318" t="inlineStr">
        <is>
          <t>NORRBOTTENS LÄN</t>
        </is>
      </c>
      <c r="E318" t="inlineStr">
        <is>
          <t>ÄLVSBYN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58505-2023</t>
        </is>
      </c>
      <c r="B319" s="1" t="n">
        <v>45251.36628472222</v>
      </c>
      <c r="C319" s="1" t="n">
        <v>46134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58664-2025</t>
        </is>
      </c>
      <c r="B320" s="1" t="n">
        <v>45986.53731481481</v>
      </c>
      <c r="C320" s="1" t="n">
        <v>46134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58660-2025</t>
        </is>
      </c>
      <c r="B321" s="1" t="n">
        <v>45986</v>
      </c>
      <c r="C321" s="1" t="n">
        <v>46134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43-2023</t>
        </is>
      </c>
      <c r="B322" s="1" t="n">
        <v>44918</v>
      </c>
      <c r="C322" s="1" t="n">
        <v>46134</v>
      </c>
      <c r="D322" t="inlineStr">
        <is>
          <t>NORRBOTTENS LÄN</t>
        </is>
      </c>
      <c r="E322" t="inlineStr">
        <is>
          <t>ÄLVSBYN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50924-2021</t>
        </is>
      </c>
      <c r="B323" s="1" t="n">
        <v>44460</v>
      </c>
      <c r="C323" s="1" t="n">
        <v>46134</v>
      </c>
      <c r="D323" t="inlineStr">
        <is>
          <t>NORRBOTTENS LÄN</t>
        </is>
      </c>
      <c r="E323" t="inlineStr">
        <is>
          <t>ÄLVSBYN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58790-2025</t>
        </is>
      </c>
      <c r="B324" s="1" t="n">
        <v>45985</v>
      </c>
      <c r="C324" s="1" t="n">
        <v>46134</v>
      </c>
      <c r="D324" t="inlineStr">
        <is>
          <t>NORRBOTTENS LÄN</t>
        </is>
      </c>
      <c r="E324" t="inlineStr">
        <is>
          <t>ÄLVSBYN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58791-2025</t>
        </is>
      </c>
      <c r="B325" s="1" t="n">
        <v>45985</v>
      </c>
      <c r="C325" s="1" t="n">
        <v>46134</v>
      </c>
      <c r="D325" t="inlineStr">
        <is>
          <t>NORRBOTTENS LÄN</t>
        </is>
      </c>
      <c r="E325" t="inlineStr">
        <is>
          <t>ÄLVSBYN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22-2023</t>
        </is>
      </c>
      <c r="B326" s="1" t="n">
        <v>44918</v>
      </c>
      <c r="C326" s="1" t="n">
        <v>46134</v>
      </c>
      <c r="D326" t="inlineStr">
        <is>
          <t>NORRBOTTENS LÄN</t>
        </is>
      </c>
      <c r="E326" t="inlineStr">
        <is>
          <t>ÄLVSBYN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58982-2025</t>
        </is>
      </c>
      <c r="B327" s="1" t="n">
        <v>45987</v>
      </c>
      <c r="C327" s="1" t="n">
        <v>46134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58848-2025</t>
        </is>
      </c>
      <c r="B328" s="1" t="n">
        <v>45987.38778935185</v>
      </c>
      <c r="C328" s="1" t="n">
        <v>46134</v>
      </c>
      <c r="D328" t="inlineStr">
        <is>
          <t>NORRBOTTENS LÄN</t>
        </is>
      </c>
      <c r="E328" t="inlineStr">
        <is>
          <t>ÄLVSBYN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59110-2025</t>
        </is>
      </c>
      <c r="B329" s="1" t="n">
        <v>45988.47903935185</v>
      </c>
      <c r="C329" s="1" t="n">
        <v>46134</v>
      </c>
      <c r="D329" t="inlineStr">
        <is>
          <t>NORRBOTTENS LÄN</t>
        </is>
      </c>
      <c r="E329" t="inlineStr">
        <is>
          <t>ÄLVSBYN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59484-2025</t>
        </is>
      </c>
      <c r="B330" s="1" t="n">
        <v>45989.5925462963</v>
      </c>
      <c r="C330" s="1" t="n">
        <v>46134</v>
      </c>
      <c r="D330" t="inlineStr">
        <is>
          <t>NORRBOTTENS LÄN</t>
        </is>
      </c>
      <c r="E330" t="inlineStr">
        <is>
          <t>ÄLVSBYN</t>
        </is>
      </c>
      <c r="G330" t="n">
        <v>14.1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59737-2025</t>
        </is>
      </c>
      <c r="B331" s="1" t="n">
        <v>45992.5737962963</v>
      </c>
      <c r="C331" s="1" t="n">
        <v>46134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59694-2025</t>
        </is>
      </c>
      <c r="B332" s="1" t="n">
        <v>45992</v>
      </c>
      <c r="C332" s="1" t="n">
        <v>46134</v>
      </c>
      <c r="D332" t="inlineStr">
        <is>
          <t>NORRBOTTENS LÄN</t>
        </is>
      </c>
      <c r="E332" t="inlineStr">
        <is>
          <t>ÄLVSBYN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59695-2025</t>
        </is>
      </c>
      <c r="B333" s="1" t="n">
        <v>45992.49027777778</v>
      </c>
      <c r="C333" s="1" t="n">
        <v>46134</v>
      </c>
      <c r="D333" t="inlineStr">
        <is>
          <t>NORRBOTTENS LÄN</t>
        </is>
      </c>
      <c r="E333" t="inlineStr">
        <is>
          <t>ÄLVSBYN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59661-2025</t>
        </is>
      </c>
      <c r="B334" s="1" t="n">
        <v>45992</v>
      </c>
      <c r="C334" s="1" t="n">
        <v>46134</v>
      </c>
      <c r="D334" t="inlineStr">
        <is>
          <t>NORRBOTTENS LÄN</t>
        </is>
      </c>
      <c r="E334" t="inlineStr">
        <is>
          <t>ÄLVSBYN</t>
        </is>
      </c>
      <c r="F334" t="inlineStr">
        <is>
          <t>SCA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59726-2025</t>
        </is>
      </c>
      <c r="B335" s="1" t="n">
        <v>45992</v>
      </c>
      <c r="C335" s="1" t="n">
        <v>46134</v>
      </c>
      <c r="D335" t="inlineStr">
        <is>
          <t>NORRBOTTENS LÄN</t>
        </is>
      </c>
      <c r="E335" t="inlineStr">
        <is>
          <t>ÄLVSBYN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59696-2025</t>
        </is>
      </c>
      <c r="B336" s="1" t="n">
        <v>45992.49039351852</v>
      </c>
      <c r="C336" s="1" t="n">
        <v>46134</v>
      </c>
      <c r="D336" t="inlineStr">
        <is>
          <t>NORRBOTTENS LÄN</t>
        </is>
      </c>
      <c r="E336" t="inlineStr">
        <is>
          <t>ÄLVSBYN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59676-2025</t>
        </is>
      </c>
      <c r="B337" s="1" t="n">
        <v>45992</v>
      </c>
      <c r="C337" s="1" t="n">
        <v>46134</v>
      </c>
      <c r="D337" t="inlineStr">
        <is>
          <t>NORRBOTTENS LÄN</t>
        </is>
      </c>
      <c r="E337" t="inlineStr">
        <is>
          <t>ÄLVSBYN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47391-2024</t>
        </is>
      </c>
      <c r="B338" s="1" t="n">
        <v>45587.47009259259</v>
      </c>
      <c r="C338" s="1" t="n">
        <v>46134</v>
      </c>
      <c r="D338" t="inlineStr">
        <is>
          <t>NORRBOTTENS LÄN</t>
        </is>
      </c>
      <c r="E338" t="inlineStr">
        <is>
          <t>ÄLVSBYN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58908-2022</t>
        </is>
      </c>
      <c r="B339" s="1" t="n">
        <v>44896</v>
      </c>
      <c r="C339" s="1" t="n">
        <v>46134</v>
      </c>
      <c r="D339" t="inlineStr">
        <is>
          <t>NORRBOTTENS LÄN</t>
        </is>
      </c>
      <c r="E339" t="inlineStr">
        <is>
          <t>ÄLVSBYN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28755-2023</t>
        </is>
      </c>
      <c r="B340" s="1" t="n">
        <v>45103.9419212963</v>
      </c>
      <c r="C340" s="1" t="n">
        <v>46134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58792-2025</t>
        </is>
      </c>
      <c r="B341" s="1" t="n">
        <v>45985</v>
      </c>
      <c r="C341" s="1" t="n">
        <v>46134</v>
      </c>
      <c r="D341" t="inlineStr">
        <is>
          <t>NORRBOTTENS LÄN</t>
        </is>
      </c>
      <c r="E341" t="inlineStr">
        <is>
          <t>ÄLVSBYN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30690-2024</t>
        </is>
      </c>
      <c r="B342" s="1" t="n">
        <v>45495</v>
      </c>
      <c r="C342" s="1" t="n">
        <v>46134</v>
      </c>
      <c r="D342" t="inlineStr">
        <is>
          <t>NORRBOTTENS LÄN</t>
        </is>
      </c>
      <c r="E342" t="inlineStr">
        <is>
          <t>ÄLVSBYN</t>
        </is>
      </c>
      <c r="F342" t="inlineStr">
        <is>
          <t>SCA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52087-2022</t>
        </is>
      </c>
      <c r="B343" s="1" t="n">
        <v>44873</v>
      </c>
      <c r="C343" s="1" t="n">
        <v>46134</v>
      </c>
      <c r="D343" t="inlineStr">
        <is>
          <t>NORRBOTTENS LÄN</t>
        </is>
      </c>
      <c r="E343" t="inlineStr">
        <is>
          <t>ÄLVSBYN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13329-2025</t>
        </is>
      </c>
      <c r="B344" s="1" t="n">
        <v>45735</v>
      </c>
      <c r="C344" s="1" t="n">
        <v>46134</v>
      </c>
      <c r="D344" t="inlineStr">
        <is>
          <t>NORRBOTTENS LÄN</t>
        </is>
      </c>
      <c r="E344" t="inlineStr">
        <is>
          <t>ÄLVSBYN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28757-2023</t>
        </is>
      </c>
      <c r="B345" s="1" t="n">
        <v>45103</v>
      </c>
      <c r="C345" s="1" t="n">
        <v>46134</v>
      </c>
      <c r="D345" t="inlineStr">
        <is>
          <t>NORRBOTTENS LÄN</t>
        </is>
      </c>
      <c r="E345" t="inlineStr">
        <is>
          <t>ÄLVSBYN</t>
        </is>
      </c>
      <c r="F345" t="inlineStr">
        <is>
          <t>SCA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15415-2026</t>
        </is>
      </c>
      <c r="B346" s="1" t="n">
        <v>46106.37130787037</v>
      </c>
      <c r="C346" s="1" t="n">
        <v>46134</v>
      </c>
      <c r="D346" t="inlineStr">
        <is>
          <t>NORRBOTTENS LÄN</t>
        </is>
      </c>
      <c r="E346" t="inlineStr">
        <is>
          <t>ÄLVSBYN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15355-2026</t>
        </is>
      </c>
      <c r="B347" s="1" t="n">
        <v>46105.69966435185</v>
      </c>
      <c r="C347" s="1" t="n">
        <v>46134</v>
      </c>
      <c r="D347" t="inlineStr">
        <is>
          <t>NORRBOTTENS LÄN</t>
        </is>
      </c>
      <c r="E347" t="inlineStr">
        <is>
          <t>ÄLVSBYN</t>
        </is>
      </c>
      <c r="F347" t="inlineStr">
        <is>
          <t>SCA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15410-2026</t>
        </is>
      </c>
      <c r="B348" s="1" t="n">
        <v>46106.36857638889</v>
      </c>
      <c r="C348" s="1" t="n">
        <v>46134</v>
      </c>
      <c r="D348" t="inlineStr">
        <is>
          <t>NORRBOTTENS LÄN</t>
        </is>
      </c>
      <c r="E348" t="inlineStr">
        <is>
          <t>ÄLVSBYN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53955-2025</t>
        </is>
      </c>
      <c r="B349" s="1" t="n">
        <v>45961</v>
      </c>
      <c r="C349" s="1" t="n">
        <v>46134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42568-2024</t>
        </is>
      </c>
      <c r="B350" s="1" t="n">
        <v>45565</v>
      </c>
      <c r="C350" s="1" t="n">
        <v>46134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15465-2026</t>
        </is>
      </c>
      <c r="B351" s="1" t="n">
        <v>46106.42774305555</v>
      </c>
      <c r="C351" s="1" t="n">
        <v>46134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45302-2024</t>
        </is>
      </c>
      <c r="B352" s="1" t="n">
        <v>45576</v>
      </c>
      <c r="C352" s="1" t="n">
        <v>46134</v>
      </c>
      <c r="D352" t="inlineStr">
        <is>
          <t>NORRBOTTENS LÄN</t>
        </is>
      </c>
      <c r="E352" t="inlineStr">
        <is>
          <t>ÄLVSBYN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14449-2025</t>
        </is>
      </c>
      <c r="B353" s="1" t="n">
        <v>45741</v>
      </c>
      <c r="C353" s="1" t="n">
        <v>46134</v>
      </c>
      <c r="D353" t="inlineStr">
        <is>
          <t>NORRBOTTENS LÄN</t>
        </is>
      </c>
      <c r="E353" t="inlineStr">
        <is>
          <t>ÄLVSBYN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64872-2023</t>
        </is>
      </c>
      <c r="B354" s="1" t="n">
        <v>45282</v>
      </c>
      <c r="C354" s="1" t="n">
        <v>46134</v>
      </c>
      <c r="D354" t="inlineStr">
        <is>
          <t>NORRBOTTENS LÄN</t>
        </is>
      </c>
      <c r="E354" t="inlineStr">
        <is>
          <t>ÄLVSBYN</t>
        </is>
      </c>
      <c r="F354" t="inlineStr">
        <is>
          <t>Övriga Aktiebolag</t>
        </is>
      </c>
      <c r="G354" t="n">
        <v>12.6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58450-2023</t>
        </is>
      </c>
      <c r="B355" s="1" t="n">
        <v>45250</v>
      </c>
      <c r="C355" s="1" t="n">
        <v>46134</v>
      </c>
      <c r="D355" t="inlineStr">
        <is>
          <t>NORRBOTTENS LÄN</t>
        </is>
      </c>
      <c r="E355" t="inlineStr">
        <is>
          <t>ÄLVSBYN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2290-2023</t>
        </is>
      </c>
      <c r="B356" s="1" t="n">
        <v>44942</v>
      </c>
      <c r="C356" s="1" t="n">
        <v>46134</v>
      </c>
      <c r="D356" t="inlineStr">
        <is>
          <t>NORRBOTTENS LÄN</t>
        </is>
      </c>
      <c r="E356" t="inlineStr">
        <is>
          <t>ÄLVSBYN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15959-2024</t>
        </is>
      </c>
      <c r="B357" s="1" t="n">
        <v>45405</v>
      </c>
      <c r="C357" s="1" t="n">
        <v>46134</v>
      </c>
      <c r="D357" t="inlineStr">
        <is>
          <t>NORRBOTTENS LÄN</t>
        </is>
      </c>
      <c r="E357" t="inlineStr">
        <is>
          <t>ÄLVSBYN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1486-2024</t>
        </is>
      </c>
      <c r="B358" s="1" t="n">
        <v>45305</v>
      </c>
      <c r="C358" s="1" t="n">
        <v>46134</v>
      </c>
      <c r="D358" t="inlineStr">
        <is>
          <t>NORRBOTTENS LÄN</t>
        </is>
      </c>
      <c r="E358" t="inlineStr">
        <is>
          <t>ÄLVSBYN</t>
        </is>
      </c>
      <c r="G358" t="n">
        <v>92.09999999999999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16151-2026</t>
        </is>
      </c>
      <c r="B359" s="1" t="n">
        <v>46108.67787037037</v>
      </c>
      <c r="C359" s="1" t="n">
        <v>46134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47394-2024</t>
        </is>
      </c>
      <c r="B360" s="1" t="n">
        <v>45587.47013888889</v>
      </c>
      <c r="C360" s="1" t="n">
        <v>46134</v>
      </c>
      <c r="D360" t="inlineStr">
        <is>
          <t>NORRBOTTENS LÄN</t>
        </is>
      </c>
      <c r="E360" t="inlineStr">
        <is>
          <t>ÄLVSBYN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59826-2024</t>
        </is>
      </c>
      <c r="B361" s="1" t="n">
        <v>45639</v>
      </c>
      <c r="C361" s="1" t="n">
        <v>46134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41467-2023</t>
        </is>
      </c>
      <c r="B362" s="1" t="n">
        <v>45175</v>
      </c>
      <c r="C362" s="1" t="n">
        <v>46134</v>
      </c>
      <c r="D362" t="inlineStr">
        <is>
          <t>NORRBOTTENS LÄN</t>
        </is>
      </c>
      <c r="E362" t="inlineStr">
        <is>
          <t>ÄLVSBYN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21895-2023</t>
        </is>
      </c>
      <c r="B363" s="1" t="n">
        <v>45068.51972222222</v>
      </c>
      <c r="C363" s="1" t="n">
        <v>46134</v>
      </c>
      <c r="D363" t="inlineStr">
        <is>
          <t>NORRBOTTENS LÄN</t>
        </is>
      </c>
      <c r="E363" t="inlineStr">
        <is>
          <t>ÄLVSBYN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39551-2023</t>
        </is>
      </c>
      <c r="B364" s="1" t="n">
        <v>45167.3790162037</v>
      </c>
      <c r="C364" s="1" t="n">
        <v>46134</v>
      </c>
      <c r="D364" t="inlineStr">
        <is>
          <t>NORRBOTTENS LÄN</t>
        </is>
      </c>
      <c r="E364" t="inlineStr">
        <is>
          <t>ÄLVSBYN</t>
        </is>
      </c>
      <c r="G364" t="n">
        <v>10.4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46786-2024</t>
        </is>
      </c>
      <c r="B365" s="1" t="n">
        <v>45583</v>
      </c>
      <c r="C365" s="1" t="n">
        <v>46134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39668-2024</t>
        </is>
      </c>
      <c r="B366" s="1" t="n">
        <v>45552</v>
      </c>
      <c r="C366" s="1" t="n">
        <v>46134</v>
      </c>
      <c r="D366" t="inlineStr">
        <is>
          <t>NORRBOTTENS LÄN</t>
        </is>
      </c>
      <c r="E366" t="inlineStr">
        <is>
          <t>ÄLVSBYN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9911-2026</t>
        </is>
      </c>
      <c r="B367" s="1" t="n">
        <v>46073.42565972222</v>
      </c>
      <c r="C367" s="1" t="n">
        <v>46134</v>
      </c>
      <c r="D367" t="inlineStr">
        <is>
          <t>NORRBOTTENS LÄN</t>
        </is>
      </c>
      <c r="E367" t="inlineStr">
        <is>
          <t>ÄLVSBYN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9908-2026</t>
        </is>
      </c>
      <c r="B368" s="1" t="n">
        <v>46073.4183912037</v>
      </c>
      <c r="C368" s="1" t="n">
        <v>46134</v>
      </c>
      <c r="D368" t="inlineStr">
        <is>
          <t>NORRBOTTENS LÄN</t>
        </is>
      </c>
      <c r="E368" t="inlineStr">
        <is>
          <t>ÄLVSBYN</t>
        </is>
      </c>
      <c r="G368" t="n">
        <v>15.7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9914-2026</t>
        </is>
      </c>
      <c r="B369" s="1" t="n">
        <v>46073.43217592593</v>
      </c>
      <c r="C369" s="1" t="n">
        <v>46134</v>
      </c>
      <c r="D369" t="inlineStr">
        <is>
          <t>NORRBOTTENS LÄN</t>
        </is>
      </c>
      <c r="E369" t="inlineStr">
        <is>
          <t>ÄLVSBYN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60773-2024</t>
        </is>
      </c>
      <c r="B370" s="1" t="n">
        <v>45644.58398148148</v>
      </c>
      <c r="C370" s="1" t="n">
        <v>46134</v>
      </c>
      <c r="D370" t="inlineStr">
        <is>
          <t>NORRBOTTENS LÄN</t>
        </is>
      </c>
      <c r="E370" t="inlineStr">
        <is>
          <t>ÄLVSBYN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16641-2026</t>
        </is>
      </c>
      <c r="B371" s="1" t="n">
        <v>46112.63440972222</v>
      </c>
      <c r="C371" s="1" t="n">
        <v>46134</v>
      </c>
      <c r="D371" t="inlineStr">
        <is>
          <t>NORRBOTTENS LÄN</t>
        </is>
      </c>
      <c r="E371" t="inlineStr">
        <is>
          <t>ÄLVSBYN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73774-2021</t>
        </is>
      </c>
      <c r="B372" s="1" t="n">
        <v>44552</v>
      </c>
      <c r="C372" s="1" t="n">
        <v>46134</v>
      </c>
      <c r="D372" t="inlineStr">
        <is>
          <t>NORRBOTTENS LÄN</t>
        </is>
      </c>
      <c r="E372" t="inlineStr">
        <is>
          <t>ÄLVSBYN</t>
        </is>
      </c>
      <c r="F372" t="inlineStr">
        <is>
          <t>Sveaskog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17799-2026</t>
        </is>
      </c>
      <c r="B373" s="1" t="n">
        <v>46122.40650462963</v>
      </c>
      <c r="C373" s="1" t="n">
        <v>46134</v>
      </c>
      <c r="D373" t="inlineStr">
        <is>
          <t>NORRBOTTENS LÄN</t>
        </is>
      </c>
      <c r="E373" t="inlineStr">
        <is>
          <t>ÄLVSBYN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29683-2024</t>
        </is>
      </c>
      <c r="B374" s="1" t="n">
        <v>45484</v>
      </c>
      <c r="C374" s="1" t="n">
        <v>46134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17773-2026</t>
        </is>
      </c>
      <c r="B375" s="1" t="n">
        <v>46122.36829861111</v>
      </c>
      <c r="C375" s="1" t="n">
        <v>46134</v>
      </c>
      <c r="D375" t="inlineStr">
        <is>
          <t>NORRBOTTENS LÄN</t>
        </is>
      </c>
      <c r="E375" t="inlineStr">
        <is>
          <t>ÄLVSBYN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17788-2026</t>
        </is>
      </c>
      <c r="B376" s="1" t="n">
        <v>46122.3825462963</v>
      </c>
      <c r="C376" s="1" t="n">
        <v>46134</v>
      </c>
      <c r="D376" t="inlineStr">
        <is>
          <t>NORRBOTTENS LÄN</t>
        </is>
      </c>
      <c r="E376" t="inlineStr">
        <is>
          <t>ÄLVSBYN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17798-2026</t>
        </is>
      </c>
      <c r="B377" s="1" t="n">
        <v>46122.40265046297</v>
      </c>
      <c r="C377" s="1" t="n">
        <v>46134</v>
      </c>
      <c r="D377" t="inlineStr">
        <is>
          <t>NORRBOTTENS LÄN</t>
        </is>
      </c>
      <c r="E377" t="inlineStr">
        <is>
          <t>ÄLVSBYN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17808-2026</t>
        </is>
      </c>
      <c r="B378" s="1" t="n">
        <v>46122.42379629629</v>
      </c>
      <c r="C378" s="1" t="n">
        <v>46134</v>
      </c>
      <c r="D378" t="inlineStr">
        <is>
          <t>NORRBOTTENS LÄN</t>
        </is>
      </c>
      <c r="E378" t="inlineStr">
        <is>
          <t>ÄLVSBYN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17803-2026</t>
        </is>
      </c>
      <c r="B379" s="1" t="n">
        <v>46122.41704861111</v>
      </c>
      <c r="C379" s="1" t="n">
        <v>46134</v>
      </c>
      <c r="D379" t="inlineStr">
        <is>
          <t>NORRBOTTENS LÄN</t>
        </is>
      </c>
      <c r="E379" t="inlineStr">
        <is>
          <t>ÄLVSBYN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11612-2026</t>
        </is>
      </c>
      <c r="B380" s="1" t="n">
        <v>46084.44141203703</v>
      </c>
      <c r="C380" s="1" t="n">
        <v>46134</v>
      </c>
      <c r="D380" t="inlineStr">
        <is>
          <t>NORRBOTTENS LÄN</t>
        </is>
      </c>
      <c r="E380" t="inlineStr">
        <is>
          <t>ÄLVSBYN</t>
        </is>
      </c>
      <c r="G380" t="n">
        <v>24.2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20254-2024</t>
        </is>
      </c>
      <c r="B381" s="1" t="n">
        <v>45434</v>
      </c>
      <c r="C381" s="1" t="n">
        <v>46134</v>
      </c>
      <c r="D381" t="inlineStr">
        <is>
          <t>NORRBOTTENS LÄN</t>
        </is>
      </c>
      <c r="E381" t="inlineStr">
        <is>
          <t>ÄLVSBYN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18436-2026</t>
        </is>
      </c>
      <c r="B382" s="1" t="n">
        <v>46127.34547453704</v>
      </c>
      <c r="C382" s="1" t="n">
        <v>46134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39378-2023</t>
        </is>
      </c>
      <c r="B383" s="1" t="n">
        <v>45166.6403125</v>
      </c>
      <c r="C383" s="1" t="n">
        <v>46134</v>
      </c>
      <c r="D383" t="inlineStr">
        <is>
          <t>NORRBOTTENS LÄN</t>
        </is>
      </c>
      <c r="E383" t="inlineStr">
        <is>
          <t>ÄLVSBYN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18297-2026</t>
        </is>
      </c>
      <c r="B384" s="1" t="n">
        <v>46126.44854166666</v>
      </c>
      <c r="C384" s="1" t="n">
        <v>46134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9631-2022</t>
        </is>
      </c>
      <c r="B385" s="1" t="n">
        <v>44617</v>
      </c>
      <c r="C385" s="1" t="n">
        <v>46134</v>
      </c>
      <c r="D385" t="inlineStr">
        <is>
          <t>NORRBOTTENS LÄN</t>
        </is>
      </c>
      <c r="E385" t="inlineStr">
        <is>
          <t>ÄLVSBYN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46406-2023</t>
        </is>
      </c>
      <c r="B386" s="1" t="n">
        <v>45194</v>
      </c>
      <c r="C386" s="1" t="n">
        <v>46134</v>
      </c>
      <c r="D386" t="inlineStr">
        <is>
          <t>NORRBOTTENS LÄN</t>
        </is>
      </c>
      <c r="E386" t="inlineStr">
        <is>
          <t>ÄLVSBYN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19081-2026</t>
        </is>
      </c>
      <c r="B387" s="1" t="n">
        <v>46132.38994212963</v>
      </c>
      <c r="C387" s="1" t="n">
        <v>46134</v>
      </c>
      <c r="D387" t="inlineStr">
        <is>
          <t>NORRBOTTENS LÄN</t>
        </is>
      </c>
      <c r="E387" t="inlineStr">
        <is>
          <t>ÄLVSBYN</t>
        </is>
      </c>
      <c r="G387" t="n">
        <v>11.1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16343-2026</t>
        </is>
      </c>
      <c r="B388" s="1" t="n">
        <v>46111</v>
      </c>
      <c r="C388" s="1" t="n">
        <v>46134</v>
      </c>
      <c r="D388" t="inlineStr">
        <is>
          <t>NORRBOTTENS LÄN</t>
        </is>
      </c>
      <c r="E388" t="inlineStr">
        <is>
          <t>ÄLVSBYN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9623-2022</t>
        </is>
      </c>
      <c r="B389" s="1" t="n">
        <v>44617</v>
      </c>
      <c r="C389" s="1" t="n">
        <v>46134</v>
      </c>
      <c r="D389" t="inlineStr">
        <is>
          <t>NORRBOTTENS LÄN</t>
        </is>
      </c>
      <c r="E389" t="inlineStr">
        <is>
          <t>ÄLVSBYN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18928-2026</t>
        </is>
      </c>
      <c r="B390" s="1" t="n">
        <v>46129.55849537037</v>
      </c>
      <c r="C390" s="1" t="n">
        <v>46134</v>
      </c>
      <c r="D390" t="inlineStr">
        <is>
          <t>NORRBOTTENS LÄN</t>
        </is>
      </c>
      <c r="E390" t="inlineStr">
        <is>
          <t>ÄLVSBYN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8551-2025</t>
        </is>
      </c>
      <c r="B391" s="1" t="n">
        <v>45709</v>
      </c>
      <c r="C391" s="1" t="n">
        <v>46134</v>
      </c>
      <c r="D391" t="inlineStr">
        <is>
          <t>NORRBOTTENS LÄN</t>
        </is>
      </c>
      <c r="E391" t="inlineStr">
        <is>
          <t>ÄLVSBYN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8554-2025</t>
        </is>
      </c>
      <c r="B392" s="1" t="n">
        <v>45709</v>
      </c>
      <c r="C392" s="1" t="n">
        <v>46134</v>
      </c>
      <c r="D392" t="inlineStr">
        <is>
          <t>NORRBOTTENS LÄN</t>
        </is>
      </c>
      <c r="E392" t="inlineStr">
        <is>
          <t>ÄLVSBYN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55181-2024</t>
        </is>
      </c>
      <c r="B393" s="1" t="n">
        <v>45621.53268518519</v>
      </c>
      <c r="C393" s="1" t="n">
        <v>46134</v>
      </c>
      <c r="D393" t="inlineStr">
        <is>
          <t>NORRBOTTENS LÄN</t>
        </is>
      </c>
      <c r="E393" t="inlineStr">
        <is>
          <t>ÄLVSBYN</t>
        </is>
      </c>
      <c r="F393" t="inlineStr">
        <is>
          <t>Kommuner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31051-2023</t>
        </is>
      </c>
      <c r="B394" s="1" t="n">
        <v>45113</v>
      </c>
      <c r="C394" s="1" t="n">
        <v>46134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46134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24760-2022</t>
        </is>
      </c>
      <c r="B396" s="1" t="n">
        <v>44728</v>
      </c>
      <c r="C396" s="1" t="n">
        <v>46134</v>
      </c>
      <c r="D396" t="inlineStr">
        <is>
          <t>NORRBOTTENS LÄN</t>
        </is>
      </c>
      <c r="E396" t="inlineStr">
        <is>
          <t>ÄLVSBYN</t>
        </is>
      </c>
      <c r="G396" t="n">
        <v>14.2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45424-2023</t>
        </is>
      </c>
      <c r="B397" s="1" t="n">
        <v>45194</v>
      </c>
      <c r="C397" s="1" t="n">
        <v>46134</v>
      </c>
      <c r="D397" t="inlineStr">
        <is>
          <t>NORRBOTTENS LÄN</t>
        </is>
      </c>
      <c r="E397" t="inlineStr">
        <is>
          <t>ÄLVSBYN</t>
        </is>
      </c>
      <c r="F397" t="inlineStr">
        <is>
          <t>Övriga Aktiebolag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10269-2025</t>
        </is>
      </c>
      <c r="B398" s="1" t="n">
        <v>45720</v>
      </c>
      <c r="C398" s="1" t="n">
        <v>46134</v>
      </c>
      <c r="D398" t="inlineStr">
        <is>
          <t>NORRBOTTENS LÄN</t>
        </is>
      </c>
      <c r="E398" t="inlineStr">
        <is>
          <t>ÄLVSBYN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58315-2024</t>
        </is>
      </c>
      <c r="B399" s="1" t="n">
        <v>45632</v>
      </c>
      <c r="C399" s="1" t="n">
        <v>46134</v>
      </c>
      <c r="D399" t="inlineStr">
        <is>
          <t>NORRBOTTENS LÄN</t>
        </is>
      </c>
      <c r="E399" t="inlineStr">
        <is>
          <t>ÄLVSBYN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52397-2023</t>
        </is>
      </c>
      <c r="B400" s="1" t="n">
        <v>45224</v>
      </c>
      <c r="C400" s="1" t="n">
        <v>46134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63954-2023</t>
        </is>
      </c>
      <c r="B401" s="1" t="n">
        <v>45278</v>
      </c>
      <c r="C401" s="1" t="n">
        <v>46134</v>
      </c>
      <c r="D401" t="inlineStr">
        <is>
          <t>NORRBOTTENS LÄN</t>
        </is>
      </c>
      <c r="E401" t="inlineStr">
        <is>
          <t>ÄLVSBYN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16473-2025</t>
        </is>
      </c>
      <c r="B402" s="1" t="n">
        <v>45751.55675925926</v>
      </c>
      <c r="C402" s="1" t="n">
        <v>46134</v>
      </c>
      <c r="D402" t="inlineStr">
        <is>
          <t>NORRBOTTENS LÄN</t>
        </is>
      </c>
      <c r="E402" t="inlineStr">
        <is>
          <t>ÄLVSBYN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33848-2022</t>
        </is>
      </c>
      <c r="B403" s="1" t="n">
        <v>44790</v>
      </c>
      <c r="C403" s="1" t="n">
        <v>46134</v>
      </c>
      <c r="D403" t="inlineStr">
        <is>
          <t>NORRBOTTENS LÄN</t>
        </is>
      </c>
      <c r="E403" t="inlineStr">
        <is>
          <t>ÄLVSBYN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58448-2023</t>
        </is>
      </c>
      <c r="B404" s="1" t="n">
        <v>45250</v>
      </c>
      <c r="C404" s="1" t="n">
        <v>46134</v>
      </c>
      <c r="D404" t="inlineStr">
        <is>
          <t>NORRBOTTENS LÄN</t>
        </is>
      </c>
      <c r="E404" t="inlineStr">
        <is>
          <t>ÄLVSBYN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64407-2023</t>
        </is>
      </c>
      <c r="B405" s="1" t="n">
        <v>45280.62268518518</v>
      </c>
      <c r="C405" s="1" t="n">
        <v>46134</v>
      </c>
      <c r="D405" t="inlineStr">
        <is>
          <t>NORRBOTTENS LÄN</t>
        </is>
      </c>
      <c r="E405" t="inlineStr">
        <is>
          <t>ÄLVSBYN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404-2024</t>
        </is>
      </c>
      <c r="B406" s="1" t="n">
        <v>45296</v>
      </c>
      <c r="C406" s="1" t="n">
        <v>46134</v>
      </c>
      <c r="D406" t="inlineStr">
        <is>
          <t>NORRBOTTENS LÄN</t>
        </is>
      </c>
      <c r="E406" t="inlineStr">
        <is>
          <t>ÄLVSBYN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58515-2023</t>
        </is>
      </c>
      <c r="B407" s="1" t="n">
        <v>45251</v>
      </c>
      <c r="C407" s="1" t="n">
        <v>46134</v>
      </c>
      <c r="D407" t="inlineStr">
        <is>
          <t>NORRBOTTENS LÄN</t>
        </is>
      </c>
      <c r="E407" t="inlineStr">
        <is>
          <t>ÄLVSBYN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48742-2022</t>
        </is>
      </c>
      <c r="B408" s="1" t="n">
        <v>44855</v>
      </c>
      <c r="C408" s="1" t="n">
        <v>46134</v>
      </c>
      <c r="D408" t="inlineStr">
        <is>
          <t>NORRBOTTENS LÄN</t>
        </is>
      </c>
      <c r="E408" t="inlineStr">
        <is>
          <t>ÄLVSBYN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15251-2023</t>
        </is>
      </c>
      <c r="B409" s="1" t="n">
        <v>45016</v>
      </c>
      <c r="C409" s="1" t="n">
        <v>46134</v>
      </c>
      <c r="D409" t="inlineStr">
        <is>
          <t>NORRBOTTENS LÄN</t>
        </is>
      </c>
      <c r="E409" t="inlineStr">
        <is>
          <t>ÄLVSBYN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8741-2025</t>
        </is>
      </c>
      <c r="B410" s="1" t="n">
        <v>45712.55256944444</v>
      </c>
      <c r="C410" s="1" t="n">
        <v>46134</v>
      </c>
      <c r="D410" t="inlineStr">
        <is>
          <t>NORRBOTTENS LÄN</t>
        </is>
      </c>
      <c r="E410" t="inlineStr">
        <is>
          <t>ÄLVSBYN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8742-2025</t>
        </is>
      </c>
      <c r="B411" s="1" t="n">
        <v>45712.55259259259</v>
      </c>
      <c r="C411" s="1" t="n">
        <v>46134</v>
      </c>
      <c r="D411" t="inlineStr">
        <is>
          <t>NORRBOTTENS LÄN</t>
        </is>
      </c>
      <c r="E411" t="inlineStr">
        <is>
          <t>ÄLVSBYN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15255-2023</t>
        </is>
      </c>
      <c r="B412" s="1" t="n">
        <v>45016</v>
      </c>
      <c r="C412" s="1" t="n">
        <v>46134</v>
      </c>
      <c r="D412" t="inlineStr">
        <is>
          <t>NORRBOTTENS LÄN</t>
        </is>
      </c>
      <c r="E412" t="inlineStr">
        <is>
          <t>ÄLVSBYN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30606-2024</t>
        </is>
      </c>
      <c r="B413" s="1" t="n">
        <v>45494.95077546296</v>
      </c>
      <c r="C413" s="1" t="n">
        <v>46134</v>
      </c>
      <c r="D413" t="inlineStr">
        <is>
          <t>NORRBOTTENS LÄN</t>
        </is>
      </c>
      <c r="E413" t="inlineStr">
        <is>
          <t>ÄLVSBYN</t>
        </is>
      </c>
      <c r="F413" t="inlineStr">
        <is>
          <t>SCA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62880-2023</t>
        </is>
      </c>
      <c r="B414" s="1" t="n">
        <v>45272.3881712963</v>
      </c>
      <c r="C414" s="1" t="n">
        <v>46134</v>
      </c>
      <c r="D414" t="inlineStr">
        <is>
          <t>NORRBOTTENS LÄN</t>
        </is>
      </c>
      <c r="E414" t="inlineStr">
        <is>
          <t>ÄLVSBYN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34863-2022</t>
        </is>
      </c>
      <c r="B415" s="1" t="n">
        <v>44795</v>
      </c>
      <c r="C415" s="1" t="n">
        <v>46134</v>
      </c>
      <c r="D415" t="inlineStr">
        <is>
          <t>NORRBOTTENS LÄN</t>
        </is>
      </c>
      <c r="E415" t="inlineStr">
        <is>
          <t>ÄLVSBYN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4928-2025</t>
        </is>
      </c>
      <c r="B416" s="1" t="n">
        <v>45688.68462962963</v>
      </c>
      <c r="C416" s="1" t="n">
        <v>46134</v>
      </c>
      <c r="D416" t="inlineStr">
        <is>
          <t>NORRBOTTENS LÄN</t>
        </is>
      </c>
      <c r="E416" t="inlineStr">
        <is>
          <t>ÄLVSBYN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16204-2024</t>
        </is>
      </c>
      <c r="B417" s="1" t="n">
        <v>45406.77420138889</v>
      </c>
      <c r="C417" s="1" t="n">
        <v>46134</v>
      </c>
      <c r="D417" t="inlineStr">
        <is>
          <t>NORRBOTTENS LÄN</t>
        </is>
      </c>
      <c r="E417" t="inlineStr">
        <is>
          <t>ÄLVSBYN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1238-2024</t>
        </is>
      </c>
      <c r="B418" s="1" t="n">
        <v>45302</v>
      </c>
      <c r="C418" s="1" t="n">
        <v>46134</v>
      </c>
      <c r="D418" t="inlineStr">
        <is>
          <t>NORRBOTTENS LÄN</t>
        </is>
      </c>
      <c r="E418" t="inlineStr">
        <is>
          <t>ÄLVSBYN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11835-2023</t>
        </is>
      </c>
      <c r="B419" s="1" t="n">
        <v>44994</v>
      </c>
      <c r="C419" s="1" t="n">
        <v>46134</v>
      </c>
      <c r="D419" t="inlineStr">
        <is>
          <t>NORRBOTTENS LÄN</t>
        </is>
      </c>
      <c r="E419" t="inlineStr">
        <is>
          <t>ÄLVSBYN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38999-2024</t>
        </is>
      </c>
      <c r="B420" s="1" t="n">
        <v>45548.4180787037</v>
      </c>
      <c r="C420" s="1" t="n">
        <v>46134</v>
      </c>
      <c r="D420" t="inlineStr">
        <is>
          <t>NORRBOTTENS LÄN</t>
        </is>
      </c>
      <c r="E420" t="inlineStr">
        <is>
          <t>ÄLVSBYN</t>
        </is>
      </c>
      <c r="F420" t="inlineStr">
        <is>
          <t>Sveaskog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28358-2024</t>
        </is>
      </c>
      <c r="B421" s="1" t="n">
        <v>45477</v>
      </c>
      <c r="C421" s="1" t="n">
        <v>46134</v>
      </c>
      <c r="D421" t="inlineStr">
        <is>
          <t>NORRBOTTENS LÄN</t>
        </is>
      </c>
      <c r="E421" t="inlineStr">
        <is>
          <t>ÄLVSBYN</t>
        </is>
      </c>
      <c r="F421" t="inlineStr">
        <is>
          <t>Sveaskog</t>
        </is>
      </c>
      <c r="G421" t="n">
        <v>40.6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26727-2024</t>
        </is>
      </c>
      <c r="B422" s="1" t="n">
        <v>45470</v>
      </c>
      <c r="C422" s="1" t="n">
        <v>46134</v>
      </c>
      <c r="D422" t="inlineStr">
        <is>
          <t>NORRBOTTENS LÄN</t>
        </is>
      </c>
      <c r="E422" t="inlineStr">
        <is>
          <t>ÄLVSBYN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24922-2023</t>
        </is>
      </c>
      <c r="B423" s="1" t="n">
        <v>45078</v>
      </c>
      <c r="C423" s="1" t="n">
        <v>46134</v>
      </c>
      <c r="D423" t="inlineStr">
        <is>
          <t>NORRBOTTENS LÄN</t>
        </is>
      </c>
      <c r="E423" t="inlineStr">
        <is>
          <t>ÄLVSBYN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22810-2024</t>
        </is>
      </c>
      <c r="B424" s="1" t="n">
        <v>45448</v>
      </c>
      <c r="C424" s="1" t="n">
        <v>46134</v>
      </c>
      <c r="D424" t="inlineStr">
        <is>
          <t>NORRBOTTENS LÄN</t>
        </is>
      </c>
      <c r="E424" t="inlineStr">
        <is>
          <t>ÄLVSBYN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2293-2023</t>
        </is>
      </c>
      <c r="B425" s="1" t="n">
        <v>44942</v>
      </c>
      <c r="C425" s="1" t="n">
        <v>46134</v>
      </c>
      <c r="D425" t="inlineStr">
        <is>
          <t>NORRBOTTENS LÄN</t>
        </is>
      </c>
      <c r="E425" t="inlineStr">
        <is>
          <t>ÄLVSBYN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37291-2024</t>
        </is>
      </c>
      <c r="B426" s="1" t="n">
        <v>45540</v>
      </c>
      <c r="C426" s="1" t="n">
        <v>46134</v>
      </c>
      <c r="D426" t="inlineStr">
        <is>
          <t>NORRBOTTENS LÄN</t>
        </is>
      </c>
      <c r="E426" t="inlineStr">
        <is>
          <t>ÄLVSBYN</t>
        </is>
      </c>
      <c r="F426" t="inlineStr">
        <is>
          <t>Sveaskog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58476-2023</t>
        </is>
      </c>
      <c r="B427" s="1" t="n">
        <v>45246</v>
      </c>
      <c r="C427" s="1" t="n">
        <v>46134</v>
      </c>
      <c r="D427" t="inlineStr">
        <is>
          <t>NORRBOTTENS LÄN</t>
        </is>
      </c>
      <c r="E427" t="inlineStr">
        <is>
          <t>ÄLVSBYN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6004-2023</t>
        </is>
      </c>
      <c r="B428" s="1" t="n">
        <v>44959</v>
      </c>
      <c r="C428" s="1" t="n">
        <v>46134</v>
      </c>
      <c r="D428" t="inlineStr">
        <is>
          <t>NORRBOTTENS LÄN</t>
        </is>
      </c>
      <c r="E428" t="inlineStr">
        <is>
          <t>ÄLVSBYN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51051-2024</t>
        </is>
      </c>
      <c r="B429" s="1" t="n">
        <v>45603</v>
      </c>
      <c r="C429" s="1" t="n">
        <v>46134</v>
      </c>
      <c r="D429" t="inlineStr">
        <is>
          <t>NORRBOTTENS LÄN</t>
        </is>
      </c>
      <c r="E429" t="inlineStr">
        <is>
          <t>ÄLVSBYN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59553-2021</t>
        </is>
      </c>
      <c r="B430" s="1" t="n">
        <v>44491</v>
      </c>
      <c r="C430" s="1" t="n">
        <v>46134</v>
      </c>
      <c r="D430" t="inlineStr">
        <is>
          <t>NORRBOTTENS LÄN</t>
        </is>
      </c>
      <c r="E430" t="inlineStr">
        <is>
          <t>ÄLVSBYN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9643-2022</t>
        </is>
      </c>
      <c r="B431" s="1" t="n">
        <v>44617</v>
      </c>
      <c r="C431" s="1" t="n">
        <v>46134</v>
      </c>
      <c r="D431" t="inlineStr">
        <is>
          <t>NORRBOTTENS LÄN</t>
        </is>
      </c>
      <c r="E431" t="inlineStr">
        <is>
          <t>ÄLVSBYN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31220-2023</t>
        </is>
      </c>
      <c r="B432" s="1" t="n">
        <v>45114</v>
      </c>
      <c r="C432" s="1" t="n">
        <v>46134</v>
      </c>
      <c r="D432" t="inlineStr">
        <is>
          <t>NORRBOTTENS LÄN</t>
        </is>
      </c>
      <c r="E432" t="inlineStr">
        <is>
          <t>ÄLVSBYN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3500-2023</t>
        </is>
      </c>
      <c r="B433" s="1" t="n">
        <v>44949.9250925926</v>
      </c>
      <c r="C433" s="1" t="n">
        <v>46134</v>
      </c>
      <c r="D433" t="inlineStr">
        <is>
          <t>NORRBOTTENS LÄN</t>
        </is>
      </c>
      <c r="E433" t="inlineStr">
        <is>
          <t>ÄLVSBYN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40282-2024</t>
        </is>
      </c>
      <c r="B434" s="1" t="n">
        <v>45554.66056712963</v>
      </c>
      <c r="C434" s="1" t="n">
        <v>46134</v>
      </c>
      <c r="D434" t="inlineStr">
        <is>
          <t>NORRBOTTENS LÄN</t>
        </is>
      </c>
      <c r="E434" t="inlineStr">
        <is>
          <t>ÄLVSBYN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32966-2023</t>
        </is>
      </c>
      <c r="B435" s="1" t="n">
        <v>45125.54148148148</v>
      </c>
      <c r="C435" s="1" t="n">
        <v>46134</v>
      </c>
      <c r="D435" t="inlineStr">
        <is>
          <t>NORRBOTTENS LÄN</t>
        </is>
      </c>
      <c r="E435" t="inlineStr">
        <is>
          <t>ÄLVSBYN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54848-2024</t>
        </is>
      </c>
      <c r="B436" s="1" t="n">
        <v>45618</v>
      </c>
      <c r="C436" s="1" t="n">
        <v>46134</v>
      </c>
      <c r="D436" t="inlineStr">
        <is>
          <t>NORRBOTTENS LÄN</t>
        </is>
      </c>
      <c r="E436" t="inlineStr">
        <is>
          <t>ÄLVSBYN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39020-2024</t>
        </is>
      </c>
      <c r="B437" s="1" t="n">
        <v>45548</v>
      </c>
      <c r="C437" s="1" t="n">
        <v>46134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9.4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51981-2022</t>
        </is>
      </c>
      <c r="B438" s="1" t="n">
        <v>44872</v>
      </c>
      <c r="C438" s="1" t="n">
        <v>46134</v>
      </c>
      <c r="D438" t="inlineStr">
        <is>
          <t>NORRBOTTENS LÄN</t>
        </is>
      </c>
      <c r="E438" t="inlineStr">
        <is>
          <t>ÄLVSBYN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9634-2022</t>
        </is>
      </c>
      <c r="B439" s="1" t="n">
        <v>44617</v>
      </c>
      <c r="C439" s="1" t="n">
        <v>46134</v>
      </c>
      <c r="D439" t="inlineStr">
        <is>
          <t>NORRBOTTENS LÄN</t>
        </is>
      </c>
      <c r="E439" t="inlineStr">
        <is>
          <t>ÄLVSBYN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50375-2023</t>
        </is>
      </c>
      <c r="B440" s="1" t="n">
        <v>45216</v>
      </c>
      <c r="C440" s="1" t="n">
        <v>46134</v>
      </c>
      <c r="D440" t="inlineStr">
        <is>
          <t>NORRBOTTENS LÄN</t>
        </is>
      </c>
      <c r="E440" t="inlineStr">
        <is>
          <t>ÄLVSBYN</t>
        </is>
      </c>
      <c r="G440" t="n">
        <v>10.3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58321-2024</t>
        </is>
      </c>
      <c r="B441" s="1" t="n">
        <v>45632</v>
      </c>
      <c r="C441" s="1" t="n">
        <v>46134</v>
      </c>
      <c r="D441" t="inlineStr">
        <is>
          <t>NORRBOTTENS LÄN</t>
        </is>
      </c>
      <c r="E441" t="inlineStr">
        <is>
          <t>ÄLVSBYN</t>
        </is>
      </c>
      <c r="G441" t="n">
        <v>22.1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51457-2023</t>
        </is>
      </c>
      <c r="B442" s="1" t="n">
        <v>45220</v>
      </c>
      <c r="C442" s="1" t="n">
        <v>46134</v>
      </c>
      <c r="D442" t="inlineStr">
        <is>
          <t>NORRBOTTENS LÄN</t>
        </is>
      </c>
      <c r="E442" t="inlineStr">
        <is>
          <t>ÄLVSBYN</t>
        </is>
      </c>
      <c r="F442" t="inlineStr">
        <is>
          <t>SCA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51684-2024</t>
        </is>
      </c>
      <c r="B443" s="1" t="n">
        <v>45607</v>
      </c>
      <c r="C443" s="1" t="n">
        <v>46134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45949-2024</t>
        </is>
      </c>
      <c r="B444" s="1" t="n">
        <v>45580</v>
      </c>
      <c r="C444" s="1" t="n">
        <v>46134</v>
      </c>
      <c r="D444" t="inlineStr">
        <is>
          <t>NORRBOTTENS LÄN</t>
        </is>
      </c>
      <c r="E444" t="inlineStr">
        <is>
          <t>ÄLVSBYN</t>
        </is>
      </c>
      <c r="G444" t="n">
        <v>15.2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45724-2024</t>
        </is>
      </c>
      <c r="B445" s="1" t="n">
        <v>45579.5946875</v>
      </c>
      <c r="C445" s="1" t="n">
        <v>46134</v>
      </c>
      <c r="D445" t="inlineStr">
        <is>
          <t>NORRBOTTENS LÄN</t>
        </is>
      </c>
      <c r="E445" t="inlineStr">
        <is>
          <t>ÄLVSBYN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60589-2024</t>
        </is>
      </c>
      <c r="B446" s="1" t="n">
        <v>45642</v>
      </c>
      <c r="C446" s="1" t="n">
        <v>46134</v>
      </c>
      <c r="D446" t="inlineStr">
        <is>
          <t>NORRBOTTENS LÄN</t>
        </is>
      </c>
      <c r="E446" t="inlineStr">
        <is>
          <t>ÄLVSBYN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20879-2025</t>
        </is>
      </c>
      <c r="B447" s="1" t="n">
        <v>45777</v>
      </c>
      <c r="C447" s="1" t="n">
        <v>46134</v>
      </c>
      <c r="D447" t="inlineStr">
        <is>
          <t>NORRBOTTENS LÄN</t>
        </is>
      </c>
      <c r="E447" t="inlineStr">
        <is>
          <t>ÄLVSBYN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47371-2024</t>
        </is>
      </c>
      <c r="B448" s="1" t="n">
        <v>45587</v>
      </c>
      <c r="C448" s="1" t="n">
        <v>46134</v>
      </c>
      <c r="D448" t="inlineStr">
        <is>
          <t>NORRBOTTENS LÄN</t>
        </is>
      </c>
      <c r="E448" t="inlineStr">
        <is>
          <t>ÄLVSBYN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20166-2025</t>
        </is>
      </c>
      <c r="B449" s="1" t="n">
        <v>45772</v>
      </c>
      <c r="C449" s="1" t="n">
        <v>46134</v>
      </c>
      <c r="D449" t="inlineStr">
        <is>
          <t>NORRBOTTENS LÄN</t>
        </is>
      </c>
      <c r="E449" t="inlineStr">
        <is>
          <t>ÄLVSBYN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21990-2025</t>
        </is>
      </c>
      <c r="B450" s="1" t="n">
        <v>45784</v>
      </c>
      <c r="C450" s="1" t="n">
        <v>46134</v>
      </c>
      <c r="D450" t="inlineStr">
        <is>
          <t>NORRBOTTENS LÄN</t>
        </is>
      </c>
      <c r="E450" t="inlineStr">
        <is>
          <t>ÄLVSBYN</t>
        </is>
      </c>
      <c r="F450" t="inlineStr">
        <is>
          <t>Övriga Aktiebolag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28862-2024</t>
        </is>
      </c>
      <c r="B451" s="1" t="n">
        <v>45478.92890046296</v>
      </c>
      <c r="C451" s="1" t="n">
        <v>46134</v>
      </c>
      <c r="D451" t="inlineStr">
        <is>
          <t>NORRBOTTENS LÄN</t>
        </is>
      </c>
      <c r="E451" t="inlineStr">
        <is>
          <t>ÄLVSBYN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50672-2024</t>
        </is>
      </c>
      <c r="B452" s="1" t="n">
        <v>45601</v>
      </c>
      <c r="C452" s="1" t="n">
        <v>46134</v>
      </c>
      <c r="D452" t="inlineStr">
        <is>
          <t>NORRBOTTENS LÄN</t>
        </is>
      </c>
      <c r="E452" t="inlineStr">
        <is>
          <t>ÄLVSBYN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23411-2025</t>
        </is>
      </c>
      <c r="B453" s="1" t="n">
        <v>45792</v>
      </c>
      <c r="C453" s="1" t="n">
        <v>46134</v>
      </c>
      <c r="D453" t="inlineStr">
        <is>
          <t>NORRBOTTENS LÄN</t>
        </is>
      </c>
      <c r="E453" t="inlineStr">
        <is>
          <t>ÄLVSBYN</t>
        </is>
      </c>
      <c r="F453" t="inlineStr">
        <is>
          <t>SCA</t>
        </is>
      </c>
      <c r="G453" t="n">
        <v>10.6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23172-2025</t>
        </is>
      </c>
      <c r="B454" s="1" t="n">
        <v>45791.42792824074</v>
      </c>
      <c r="C454" s="1" t="n">
        <v>46134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23336-2025</t>
        </is>
      </c>
      <c r="B455" s="1" t="n">
        <v>45791.65248842593</v>
      </c>
      <c r="C455" s="1" t="n">
        <v>46134</v>
      </c>
      <c r="D455" t="inlineStr">
        <is>
          <t>NORRBOTTENS LÄN</t>
        </is>
      </c>
      <c r="E455" t="inlineStr">
        <is>
          <t>ÄLVSBYN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2026-04-22T10:48:53Z</dcterms:created>
  <dcterms:modified xmlns:dcterms="http://purl.org/dc/terms/" xmlns:xsi="http://www.w3.org/2001/XMLSchema-instance" xsi:type="dcterms:W3CDTF">2026-04-22T10:48:54Z</dcterms:modified>
</cp:coreProperties>
</file>