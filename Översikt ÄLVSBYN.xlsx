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45800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45800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23597-2025</t>
        </is>
      </c>
      <c r="B8" s="1" t="n">
        <v>45792</v>
      </c>
      <c r="C8" s="1" t="n">
        <v>45800</v>
      </c>
      <c r="D8" t="inlineStr">
        <is>
          <t>NORRBOTTENS LÄN</t>
        </is>
      </c>
      <c r="E8" t="inlineStr">
        <is>
          <t>ÄLVSBYN</t>
        </is>
      </c>
      <c r="G8" t="n">
        <v>5</v>
      </c>
      <c r="H8" t="n">
        <v>6</v>
      </c>
      <c r="I8" t="n">
        <v>2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15</v>
      </c>
      <c r="R8" s="2" t="inlineStr">
        <is>
          <t>Rynkskinn
Brunpudrad nållav
Gammelgransskål
Garnlav
Granticka
Rosenticka
Spillkråka
Talltita
Tretåig hackspett
Violettgrå tagellav
Bollvitmossa
Vedticka
Enkelbeckasin
Kungsfågel
Revlummer</t>
        </is>
      </c>
      <c r="S8">
        <f>HYPERLINK("https://klasma.github.io/Logging_252560/artfynd/A 23597-2025 artfynd.xlsx", "A 23597-2025")</f>
        <v/>
      </c>
      <c r="T8">
        <f>HYPERLINK("https://klasma.github.io/Logging_252560/kartor/A 23597-2025 karta.png", "A 23597-2025")</f>
        <v/>
      </c>
      <c r="V8">
        <f>HYPERLINK("https://klasma.github.io/Logging_252560/klagomål/A 23597-2025 FSC-klagomål.docx", "A 23597-2025")</f>
        <v/>
      </c>
      <c r="W8">
        <f>HYPERLINK("https://klasma.github.io/Logging_252560/klagomålsmail/A 23597-2025 FSC-klagomål mail.docx", "A 23597-2025")</f>
        <v/>
      </c>
      <c r="X8">
        <f>HYPERLINK("https://klasma.github.io/Logging_252560/tillsyn/A 23597-2025 tillsynsbegäran.docx", "A 23597-2025")</f>
        <v/>
      </c>
      <c r="Y8">
        <f>HYPERLINK("https://klasma.github.io/Logging_252560/tillsynsmail/A 23597-2025 tillsynsbegäran mail.docx", "A 23597-2025")</f>
        <v/>
      </c>
      <c r="Z8">
        <f>HYPERLINK("https://klasma.github.io/Logging_252560/fåglar/A 23597-2025 prioriterade fågelarter.docx", "A 23597-2025")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45800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45800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45800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45800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45800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45800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45800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569-2024</t>
        </is>
      </c>
      <c r="B41" s="1" t="n">
        <v>45299</v>
      </c>
      <c r="C41" s="1" t="n">
        <v>45800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Skarp dropptaggsvamp</t>
        </is>
      </c>
      <c r="S41">
        <f>HYPERLINK("https://klasma.github.io/Logging_2560/artfynd/A 569-2024 artfynd.xlsx", "A 569-2024")</f>
        <v/>
      </c>
      <c r="T41">
        <f>HYPERLINK("https://klasma.github.io/Logging_2560/kartor/A 569-2024 karta.png", "A 569-2024")</f>
        <v/>
      </c>
      <c r="V41">
        <f>HYPERLINK("https://klasma.github.io/Logging_2560/klagomål/A 569-2024 FSC-klagomål.docx", "A 569-2024")</f>
        <v/>
      </c>
      <c r="W41">
        <f>HYPERLINK("https://klasma.github.io/Logging_2560/klagomålsmail/A 569-2024 FSC-klagomål mail.docx", "A 569-2024")</f>
        <v/>
      </c>
      <c r="X41">
        <f>HYPERLINK("https://klasma.github.io/Logging_2560/tillsyn/A 569-2024 tillsynsbegäran.docx", "A 569-2024")</f>
        <v/>
      </c>
      <c r="Y41">
        <f>HYPERLINK("https://klasma.github.io/Logging_2560/tillsynsmail/A 569-2024 tillsynsbegäran mail.docx", "A 569-2024")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45800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45800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45800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45800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45800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45314-2024</t>
        </is>
      </c>
      <c r="B47" s="1" t="n">
        <v>45576</v>
      </c>
      <c r="C47" s="1" t="n">
        <v>45800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Dropptaggsvamp</t>
        </is>
      </c>
      <c r="S47">
        <f>HYPERLINK("https://klasma.github.io/Logging_2560/artfynd/A 45314-2024 artfynd.xlsx", "A 45314-2024")</f>
        <v/>
      </c>
      <c r="T47">
        <f>HYPERLINK("https://klasma.github.io/Logging_2560/kartor/A 45314-2024 karta.png", "A 45314-2024")</f>
        <v/>
      </c>
      <c r="V47">
        <f>HYPERLINK("https://klasma.github.io/Logging_2560/klagomål/A 45314-2024 FSC-klagomål.docx", "A 45314-2024")</f>
        <v/>
      </c>
      <c r="W47">
        <f>HYPERLINK("https://klasma.github.io/Logging_2560/klagomålsmail/A 45314-2024 FSC-klagomål mail.docx", "A 45314-2024")</f>
        <v/>
      </c>
      <c r="X47">
        <f>HYPERLINK("https://klasma.github.io/Logging_2560/tillsyn/A 45314-2024 tillsynsbegäran.docx", "A 45314-2024")</f>
        <v/>
      </c>
      <c r="Y47">
        <f>HYPERLINK("https://klasma.github.io/Logging_2560/tillsynsmail/A 45314-2024 tillsynsbegäran mail.docx", "A 45314-2024")</f>
        <v/>
      </c>
    </row>
    <row r="48" ht="15" customHeight="1">
      <c r="A48" t="inlineStr">
        <is>
          <t>A 45317-2024</t>
        </is>
      </c>
      <c r="B48" s="1" t="n">
        <v>45576</v>
      </c>
      <c r="C48" s="1" t="n">
        <v>45800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Skarp dropptaggsvamp</t>
        </is>
      </c>
      <c r="S48">
        <f>HYPERLINK("https://klasma.github.io/Logging_2560/artfynd/A 45317-2024 artfynd.xlsx", "A 45317-2024")</f>
        <v/>
      </c>
      <c r="T48">
        <f>HYPERLINK("https://klasma.github.io/Logging_2560/kartor/A 45317-2024 karta.png", "A 45317-2024")</f>
        <v/>
      </c>
      <c r="V48">
        <f>HYPERLINK("https://klasma.github.io/Logging_2560/klagomål/A 45317-2024 FSC-klagomål.docx", "A 45317-2024")</f>
        <v/>
      </c>
      <c r="W48">
        <f>HYPERLINK("https://klasma.github.io/Logging_2560/klagomålsmail/A 45317-2024 FSC-klagomål mail.docx", "A 45317-2024")</f>
        <v/>
      </c>
      <c r="X48">
        <f>HYPERLINK("https://klasma.github.io/Logging_2560/tillsyn/A 45317-2024 tillsynsbegäran.docx", "A 45317-2024")</f>
        <v/>
      </c>
      <c r="Y48">
        <f>HYPERLINK("https://klasma.github.io/Logging_2560/tillsynsmail/A 45317-2024 tillsynsbegäran mail.docx", "A 45317-2024")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45800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45800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HYPERLINK("https://klasma.github.io/Logging_252560/artfynd/A 21856-2025 artfynd.xlsx", "A 21856-2025")</f>
        <v/>
      </c>
      <c r="T50">
        <f>HYPERLINK("https://klasma.github.io/Logging_252560/kartor/A 21856-2025 karta.png", "A 21856-2025")</f>
        <v/>
      </c>
      <c r="V50">
        <f>HYPERLINK("https://klasma.github.io/Logging_252560/klagomål/A 21856-2025 FSC-klagomål.docx", "A 21856-2025")</f>
        <v/>
      </c>
      <c r="W50">
        <f>HYPERLINK("https://klasma.github.io/Logging_252560/klagomålsmail/A 21856-2025 FSC-klagomål mail.docx", "A 21856-2025")</f>
        <v/>
      </c>
      <c r="X50">
        <f>HYPERLINK("https://klasma.github.io/Logging_252560/tillsyn/A 21856-2025 tillsynsbegäran.docx", "A 21856-2025")</f>
        <v/>
      </c>
      <c r="Y50">
        <f>HYPERLINK("https://klasma.github.io/Logging_252560/tillsynsmail/A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45800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HYPERLINK("https://klasma.github.io/Logging_252560/artfynd/A 22567-2025 artfynd.xlsx", "A 22567-2025")</f>
        <v/>
      </c>
      <c r="T51">
        <f>HYPERLINK("https://klasma.github.io/Logging_252560/kartor/A 22567-2025 karta.png", "A 22567-2025")</f>
        <v/>
      </c>
      <c r="V51">
        <f>HYPERLINK("https://klasma.github.io/Logging_252560/klagomål/A 22567-2025 FSC-klagomål.docx", "A 22567-2025")</f>
        <v/>
      </c>
      <c r="W51">
        <f>HYPERLINK("https://klasma.github.io/Logging_252560/klagomålsmail/A 22567-2025 FSC-klagomål mail.docx", "A 22567-2025")</f>
        <v/>
      </c>
      <c r="X51">
        <f>HYPERLINK("https://klasma.github.io/Logging_252560/tillsyn/A 22567-2025 tillsynsbegäran.docx", "A 22567-2025")</f>
        <v/>
      </c>
      <c r="Y51">
        <f>HYPERLINK("https://klasma.github.io/Logging_252560/tillsynsmail/A 22567-2025 tillsynsbegäran mail.docx", "A 22567-2025")</f>
        <v/>
      </c>
    </row>
    <row r="52" ht="15" customHeight="1">
      <c r="A52" t="inlineStr">
        <is>
          <t>A 51078-2019</t>
        </is>
      </c>
      <c r="B52" s="1" t="n">
        <v>43739</v>
      </c>
      <c r="C52" s="1" t="n">
        <v>45800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51078-2019 artfynd.xlsx", "A 51078-2019")</f>
        <v/>
      </c>
      <c r="T52">
        <f>HYPERLINK("https://klasma.github.io/Logging_2560/kartor/A 51078-2019 karta.png", "A 51078-2019")</f>
        <v/>
      </c>
      <c r="V52">
        <f>HYPERLINK("https://klasma.github.io/Logging_2560/klagomål/A 51078-2019 FSC-klagomål.docx", "A 51078-2019")</f>
        <v/>
      </c>
      <c r="W52">
        <f>HYPERLINK("https://klasma.github.io/Logging_2560/klagomålsmail/A 51078-2019 FSC-klagomål mail.docx", "A 51078-2019")</f>
        <v/>
      </c>
      <c r="X52">
        <f>HYPERLINK("https://klasma.github.io/Logging_2560/tillsyn/A 51078-2019 tillsynsbegäran.docx", "A 51078-2019")</f>
        <v/>
      </c>
      <c r="Y52">
        <f>HYPERLINK("https://klasma.github.io/Logging_2560/tillsynsmail/A 51078-2019 tillsynsbegäran mail.docx", "A 51078-2019")</f>
        <v/>
      </c>
      <c r="Z52">
        <f>HYPERLINK("https://klasma.github.io/Logging_2560/fåglar/A 51078-2019 prioriterade fågelarter.docx", "A 51078-2019")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45800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45800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34022-2022</t>
        </is>
      </c>
      <c r="B55" s="1" t="n">
        <v>44791</v>
      </c>
      <c r="C55" s="1" t="n">
        <v>45800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34022-2022 artfynd.xlsx", "A 34022-2022")</f>
        <v/>
      </c>
      <c r="T55">
        <f>HYPERLINK("https://klasma.github.io/Logging_2560/kartor/A 34022-2022 karta.png", "A 34022-2022")</f>
        <v/>
      </c>
      <c r="V55">
        <f>HYPERLINK("https://klasma.github.io/Logging_2560/klagomål/A 34022-2022 FSC-klagomål.docx", "A 34022-2022")</f>
        <v/>
      </c>
      <c r="W55">
        <f>HYPERLINK("https://klasma.github.io/Logging_2560/klagomålsmail/A 34022-2022 FSC-klagomål mail.docx", "A 34022-2022")</f>
        <v/>
      </c>
      <c r="X55">
        <f>HYPERLINK("https://klasma.github.io/Logging_2560/tillsyn/A 34022-2022 tillsynsbegäran.docx", "A 34022-2022")</f>
        <v/>
      </c>
      <c r="Y55">
        <f>HYPERLINK("https://klasma.github.io/Logging_2560/tillsynsmail/A 34022-2022 tillsynsbegäran mail.docx", "A 34022-2022")</f>
        <v/>
      </c>
    </row>
    <row r="56" ht="15" customHeight="1">
      <c r="A56" t="inlineStr">
        <is>
          <t>A 38620-2022</t>
        </is>
      </c>
      <c r="B56" s="1" t="n">
        <v>44813</v>
      </c>
      <c r="C56" s="1" t="n">
        <v>45800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42680-2022</t>
        </is>
      </c>
      <c r="B57" s="1" t="n">
        <v>44832</v>
      </c>
      <c r="C57" s="1" t="n">
        <v>45800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44283-2022</t>
        </is>
      </c>
      <c r="B58" s="1" t="n">
        <v>44839</v>
      </c>
      <c r="C58" s="1" t="n">
        <v>45800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44283-2022 artfynd.xlsx", "A 44283-2022")</f>
        <v/>
      </c>
      <c r="T58">
        <f>HYPERLINK("https://klasma.github.io/Logging_2560/kartor/A 44283-2022 karta.png", "A 44283-2022")</f>
        <v/>
      </c>
      <c r="V58">
        <f>HYPERLINK("https://klasma.github.io/Logging_2560/klagomål/A 44283-2022 FSC-klagomål.docx", "A 44283-2022")</f>
        <v/>
      </c>
      <c r="W58">
        <f>HYPERLINK("https://klasma.github.io/Logging_2560/klagomålsmail/A 44283-2022 FSC-klagomål mail.docx", "A 44283-2022")</f>
        <v/>
      </c>
      <c r="X58">
        <f>HYPERLINK("https://klasma.github.io/Logging_2560/tillsyn/A 44283-2022 tillsynsbegäran.docx", "A 44283-2022")</f>
        <v/>
      </c>
      <c r="Y58">
        <f>HYPERLINK("https://klasma.github.io/Logging_2560/tillsynsmail/A 44283-2022 tillsynsbegäran mail.docx", "A 44283-2022")</f>
        <v/>
      </c>
    </row>
    <row r="59" ht="15" customHeight="1">
      <c r="A59" t="inlineStr">
        <is>
          <t>A 31829-2023</t>
        </is>
      </c>
      <c r="B59" s="1" t="n">
        <v>45106</v>
      </c>
      <c r="C59" s="1" t="n">
        <v>45800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HYPERLINK("https://klasma.github.io/Logging_2560/artfynd/A 31829-2023 artfynd.xlsx", "A 31829-2023")</f>
        <v/>
      </c>
      <c r="T59">
        <f>HYPERLINK("https://klasma.github.io/Logging_2560/kartor/A 31829-2023 karta.png", "A 31829-2023")</f>
        <v/>
      </c>
      <c r="V59">
        <f>HYPERLINK("https://klasma.github.io/Logging_2560/klagomål/A 31829-2023 FSC-klagomål.docx", "A 31829-2023")</f>
        <v/>
      </c>
      <c r="W59">
        <f>HYPERLINK("https://klasma.github.io/Logging_2560/klagomålsmail/A 31829-2023 FSC-klagomål mail.docx", "A 31829-2023")</f>
        <v/>
      </c>
      <c r="X59">
        <f>HYPERLINK("https://klasma.github.io/Logging_2560/tillsyn/A 31829-2023 tillsynsbegäran.docx", "A 31829-2023")</f>
        <v/>
      </c>
      <c r="Y59">
        <f>HYPERLINK("https://klasma.github.io/Logging_2560/tillsynsmail/A 31829-2023 tillsynsbegäran mail.docx", "A 31829-2023")</f>
        <v/>
      </c>
      <c r="Z59">
        <f>HYPERLINK("https://klasma.github.io/Logging_2560/fåglar/A 31829-2023 prioriterade fågelarter.docx", "A 31829-2023")</f>
        <v/>
      </c>
    </row>
    <row r="60" ht="15" customHeight="1">
      <c r="A60" t="inlineStr">
        <is>
          <t>A 29651-2023</t>
        </is>
      </c>
      <c r="B60" s="1" t="n">
        <v>45107</v>
      </c>
      <c r="C60" s="1" t="n">
        <v>45800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29651-2023 artfynd.xlsx", "A 29651-2023")</f>
        <v/>
      </c>
      <c r="T60">
        <f>HYPERLINK("https://klasma.github.io/Logging_2560/kartor/A 29651-2023 karta.png", "A 29651-2023")</f>
        <v/>
      </c>
      <c r="V60">
        <f>HYPERLINK("https://klasma.github.io/Logging_2560/klagomål/A 29651-2023 FSC-klagomål.docx", "A 29651-2023")</f>
        <v/>
      </c>
      <c r="W60">
        <f>HYPERLINK("https://klasma.github.io/Logging_2560/klagomålsmail/A 29651-2023 FSC-klagomål mail.docx", "A 29651-2023")</f>
        <v/>
      </c>
      <c r="X60">
        <f>HYPERLINK("https://klasma.github.io/Logging_2560/tillsyn/A 29651-2023 tillsynsbegäran.docx", "A 29651-2023")</f>
        <v/>
      </c>
      <c r="Y60">
        <f>HYPERLINK("https://klasma.github.io/Logging_2560/tillsynsmail/A 29651-2023 tillsynsbegäran mail.docx", "A 29651-2023")</f>
        <v/>
      </c>
    </row>
    <row r="61" ht="15" customHeight="1">
      <c r="A61" t="inlineStr">
        <is>
          <t>A 29650-2023</t>
        </is>
      </c>
      <c r="B61" s="1" t="n">
        <v>45107</v>
      </c>
      <c r="C61" s="1" t="n">
        <v>45800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29650-2023 artfynd.xlsx", "A 29650-2023")</f>
        <v/>
      </c>
      <c r="T61">
        <f>HYPERLINK("https://klasma.github.io/Logging_2560/kartor/A 29650-2023 karta.png", "A 29650-2023")</f>
        <v/>
      </c>
      <c r="V61">
        <f>HYPERLINK("https://klasma.github.io/Logging_2560/klagomål/A 29650-2023 FSC-klagomål.docx", "A 29650-2023")</f>
        <v/>
      </c>
      <c r="W61">
        <f>HYPERLINK("https://klasma.github.io/Logging_2560/klagomålsmail/A 29650-2023 FSC-klagomål mail.docx", "A 29650-2023")</f>
        <v/>
      </c>
      <c r="X61">
        <f>HYPERLINK("https://klasma.github.io/Logging_2560/tillsyn/A 29650-2023 tillsynsbegäran.docx", "A 29650-2023")</f>
        <v/>
      </c>
      <c r="Y61">
        <f>HYPERLINK("https://klasma.github.io/Logging_2560/tillsynsmail/A 29650-2023 tillsynsbegäran mail.docx", "A 29650-2023")</f>
        <v/>
      </c>
    </row>
    <row r="62" ht="15" customHeight="1">
      <c r="A62" t="inlineStr">
        <is>
          <t>A 37717-2023</t>
        </is>
      </c>
      <c r="B62" s="1" t="n">
        <v>45159</v>
      </c>
      <c r="C62" s="1" t="n">
        <v>45800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37717-2023 artfynd.xlsx", "A 37717-2023")</f>
        <v/>
      </c>
      <c r="T62">
        <f>HYPERLINK("https://klasma.github.io/Logging_2560/kartor/A 37717-2023 karta.png", "A 37717-2023")</f>
        <v/>
      </c>
      <c r="V62">
        <f>HYPERLINK("https://klasma.github.io/Logging_2560/klagomål/A 37717-2023 FSC-klagomål.docx", "A 37717-2023")</f>
        <v/>
      </c>
      <c r="W62">
        <f>HYPERLINK("https://klasma.github.io/Logging_2560/klagomålsmail/A 37717-2023 FSC-klagomål mail.docx", "A 37717-2023")</f>
        <v/>
      </c>
      <c r="X62">
        <f>HYPERLINK("https://klasma.github.io/Logging_2560/tillsyn/A 37717-2023 tillsynsbegäran.docx", "A 37717-2023")</f>
        <v/>
      </c>
      <c r="Y62">
        <f>HYPERLINK("https://klasma.github.io/Logging_2560/tillsynsmail/A 37717-2023 tillsynsbegäran mail.docx", "A 37717-2023")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45800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45800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6275-2024</t>
        </is>
      </c>
      <c r="B65" s="1" t="n">
        <v>45337</v>
      </c>
      <c r="C65" s="1" t="n">
        <v>45800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21974-2024</t>
        </is>
      </c>
      <c r="B66" s="1" t="n">
        <v>45443</v>
      </c>
      <c r="C66" s="1" t="n">
        <v>45800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21974-2024 artfynd.xlsx", "A 21974-2024")</f>
        <v/>
      </c>
      <c r="T66">
        <f>HYPERLINK("https://klasma.github.io/Logging_2560/kartor/A 21974-2024 karta.png", "A 21974-2024")</f>
        <v/>
      </c>
      <c r="V66">
        <f>HYPERLINK("https://klasma.github.io/Logging_2560/klagomål/A 21974-2024 FSC-klagomål.docx", "A 21974-2024")</f>
        <v/>
      </c>
      <c r="W66">
        <f>HYPERLINK("https://klasma.github.io/Logging_2560/klagomålsmail/A 21974-2024 FSC-klagomål mail.docx", "A 21974-2024")</f>
        <v/>
      </c>
      <c r="X66">
        <f>HYPERLINK("https://klasma.github.io/Logging_2560/tillsyn/A 21974-2024 tillsynsbegäran.docx", "A 21974-2024")</f>
        <v/>
      </c>
      <c r="Y66">
        <f>HYPERLINK("https://klasma.github.io/Logging_2560/tillsynsmail/A 21974-2024 tillsynsbegäran mail.docx", "A 21974-2024")</f>
        <v/>
      </c>
    </row>
    <row r="67" ht="15" customHeight="1">
      <c r="A67" t="inlineStr">
        <is>
          <t>A 21858-2024</t>
        </is>
      </c>
      <c r="B67" s="1" t="n">
        <v>45443</v>
      </c>
      <c r="C67" s="1" t="n">
        <v>45800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16.2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21858-2024 artfynd.xlsx", "A 21858-2024")</f>
        <v/>
      </c>
      <c r="T67">
        <f>HYPERLINK("https://klasma.github.io/Logging_2560/kartor/A 21858-2024 karta.png", "A 21858-2024")</f>
        <v/>
      </c>
      <c r="V67">
        <f>HYPERLINK("https://klasma.github.io/Logging_2560/klagomål/A 21858-2024 FSC-klagomål.docx", "A 21858-2024")</f>
        <v/>
      </c>
      <c r="W67">
        <f>HYPERLINK("https://klasma.github.io/Logging_2560/klagomålsmail/A 21858-2024 FSC-klagomål mail.docx", "A 21858-2024")</f>
        <v/>
      </c>
      <c r="X67">
        <f>HYPERLINK("https://klasma.github.io/Logging_2560/tillsyn/A 21858-2024 tillsynsbegäran.docx", "A 21858-2024")</f>
        <v/>
      </c>
      <c r="Y67">
        <f>HYPERLINK("https://klasma.github.io/Logging_2560/tillsynsmail/A 21858-2024 tillsynsbegäran mail.docx", "A 21858-2024")</f>
        <v/>
      </c>
    </row>
    <row r="68" ht="15" customHeight="1">
      <c r="A68" t="inlineStr">
        <is>
          <t>A 23132-2024</t>
        </is>
      </c>
      <c r="B68" s="1" t="n">
        <v>45450</v>
      </c>
      <c r="C68" s="1" t="n">
        <v>45800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23132-2024 artfynd.xlsx", "A 23132-2024")</f>
        <v/>
      </c>
      <c r="T68">
        <f>HYPERLINK("https://klasma.github.io/Logging_2560/kartor/A 23132-2024 karta.png", "A 23132-2024")</f>
        <v/>
      </c>
      <c r="V68">
        <f>HYPERLINK("https://klasma.github.io/Logging_2560/klagomål/A 23132-2024 FSC-klagomål.docx", "A 23132-2024")</f>
        <v/>
      </c>
      <c r="W68">
        <f>HYPERLINK("https://klasma.github.io/Logging_2560/klagomålsmail/A 23132-2024 FSC-klagomål mail.docx", "A 23132-2024")</f>
        <v/>
      </c>
      <c r="X68">
        <f>HYPERLINK("https://klasma.github.io/Logging_2560/tillsyn/A 23132-2024 tillsynsbegäran.docx", "A 23132-2024")</f>
        <v/>
      </c>
      <c r="Y68">
        <f>HYPERLINK("https://klasma.github.io/Logging_2560/tillsynsmail/A 23132-2024 tillsynsbegäran mail.docx", "A 23132-2024")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45800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43774-2024</t>
        </is>
      </c>
      <c r="B70" s="1" t="n">
        <v>45570</v>
      </c>
      <c r="C70" s="1" t="n">
        <v>45800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HYPERLINK("https://klasma.github.io/Logging_2560/artfynd/A 43774-2024 artfynd.xlsx", "A 43774-2024")</f>
        <v/>
      </c>
      <c r="T70">
        <f>HYPERLINK("https://klasma.github.io/Logging_2560/kartor/A 43774-2024 karta.png", "A 43774-2024")</f>
        <v/>
      </c>
      <c r="V70">
        <f>HYPERLINK("https://klasma.github.io/Logging_2560/klagomål/A 43774-2024 FSC-klagomål.docx", "A 43774-2024")</f>
        <v/>
      </c>
      <c r="W70">
        <f>HYPERLINK("https://klasma.github.io/Logging_2560/klagomålsmail/A 43774-2024 FSC-klagomål mail.docx", "A 43774-2024")</f>
        <v/>
      </c>
      <c r="X70">
        <f>HYPERLINK("https://klasma.github.io/Logging_2560/tillsyn/A 43774-2024 tillsynsbegäran.docx", "A 43774-2024")</f>
        <v/>
      </c>
      <c r="Y70">
        <f>HYPERLINK("https://klasma.github.io/Logging_2560/tillsynsmail/A 43774-2024 tillsynsbegäran mail.docx", "A 43774-2024")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45800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56551-2024</t>
        </is>
      </c>
      <c r="B72" s="1" t="n">
        <v>45625</v>
      </c>
      <c r="C72" s="1" t="n">
        <v>45800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56551-2024 artfynd.xlsx", "A 56551-2024")</f>
        <v/>
      </c>
      <c r="T72">
        <f>HYPERLINK("https://klasma.github.io/Logging_2560/kartor/A 56551-2024 karta.png", "A 56551-2024")</f>
        <v/>
      </c>
      <c r="V72">
        <f>HYPERLINK("https://klasma.github.io/Logging_2560/klagomål/A 56551-2024 FSC-klagomål.docx", "A 56551-2024")</f>
        <v/>
      </c>
      <c r="W72">
        <f>HYPERLINK("https://klasma.github.io/Logging_2560/klagomålsmail/A 56551-2024 FSC-klagomål mail.docx", "A 56551-2024")</f>
        <v/>
      </c>
      <c r="X72">
        <f>HYPERLINK("https://klasma.github.io/Logging_2560/tillsyn/A 56551-2024 tillsynsbegäran.docx", "A 56551-2024")</f>
        <v/>
      </c>
      <c r="Y72">
        <f>HYPERLINK("https://klasma.github.io/Logging_2560/tillsynsmail/A 56551-2024 tillsynsbegäran mail.docx", "A 56551-2024")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45800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20466-2025</t>
        </is>
      </c>
      <c r="B74" s="1" t="n">
        <v>45775</v>
      </c>
      <c r="C74" s="1" t="n">
        <v>45800</v>
      </c>
      <c r="D74" t="inlineStr">
        <is>
          <t>NORRBOTTENS LÄN</t>
        </is>
      </c>
      <c r="E74" t="inlineStr">
        <is>
          <t>ÄLVSBYN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HYPERLINK("https://klasma.github.io/Logging_252560/artfynd/A 20466-2025 artfynd.xlsx", "A 20466-2025")</f>
        <v/>
      </c>
      <c r="T74">
        <f>HYPERLINK("https://klasma.github.io/Logging_252560/kartor/A 20466-2025 karta.png", "A 20466-2025")</f>
        <v/>
      </c>
      <c r="V74">
        <f>HYPERLINK("https://klasma.github.io/Logging_252560/klagomål/A 20466-2025 FSC-klagomål.docx", "A 20466-2025")</f>
        <v/>
      </c>
      <c r="W74">
        <f>HYPERLINK("https://klasma.github.io/Logging_252560/klagomålsmail/A 20466-2025 FSC-klagomål mail.docx", "A 20466-2025")</f>
        <v/>
      </c>
      <c r="X74">
        <f>HYPERLINK("https://klasma.github.io/Logging_252560/tillsyn/A 20466-2025 tillsynsbegäran.docx", "A 20466-2025")</f>
        <v/>
      </c>
      <c r="Y74">
        <f>HYPERLINK("https://klasma.github.io/Logging_252560/tillsynsmail/A 20466-2025 tillsynsbegäran mail.docx", "A 20466-2025")</f>
        <v/>
      </c>
    </row>
    <row r="75" ht="15" customHeight="1">
      <c r="A75" t="inlineStr">
        <is>
          <t>A 23790-2025</t>
        </is>
      </c>
      <c r="B75" s="1" t="n">
        <v>45793</v>
      </c>
      <c r="C75" s="1" t="n">
        <v>45800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HYPERLINK("https://klasma.github.io/Logging_252560/artfynd/A 23790-2025 artfynd.xlsx", "A 23790-2025")</f>
        <v/>
      </c>
      <c r="T75">
        <f>HYPERLINK("https://klasma.github.io/Logging_252560/kartor/A 23790-2025 karta.png", "A 23790-2025")</f>
        <v/>
      </c>
      <c r="V75">
        <f>HYPERLINK("https://klasma.github.io/Logging_252560/klagomål/A 23790-2025 FSC-klagomål.docx", "A 23790-2025")</f>
        <v/>
      </c>
      <c r="W75">
        <f>HYPERLINK("https://klasma.github.io/Logging_252560/klagomålsmail/A 23790-2025 FSC-klagomål mail.docx", "A 23790-2025")</f>
        <v/>
      </c>
      <c r="X75">
        <f>HYPERLINK("https://klasma.github.io/Logging_252560/tillsyn/A 23790-2025 tillsynsbegäran.docx", "A 23790-2025")</f>
        <v/>
      </c>
      <c r="Y75">
        <f>HYPERLINK("https://klasma.github.io/Logging_252560/tillsynsmail/A 23790-2025 tillsynsbegäran mail.docx", "A 23790-2025")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45800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45800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45800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45800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45800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45800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45800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45800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45800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45800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45800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45800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45800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45800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45800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45800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45800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45800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45800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45800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45800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45800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45800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45800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45800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45800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45800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45800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45800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45800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45800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45800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45800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45800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45800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45800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45800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45800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45800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45800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45800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45800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45800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45800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45800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45800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45800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45800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45800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45800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45800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45800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45800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45800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45800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45800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45800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45800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45800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45800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45800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45800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45800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45800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45800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45800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45800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45800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45800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45800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45800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45800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45800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45800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45800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45800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45800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45800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45800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45800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45800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45800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45800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45800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45800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45800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45800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45800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45800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45800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45800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45800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45800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45800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45800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45800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45800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45800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45800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45800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45800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45800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45800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45800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45800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45800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45800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45800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45800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45800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45800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45800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45800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45800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45800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45800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45800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45800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45800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45800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45800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45800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45800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45800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45800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45800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45800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45800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45800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45800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45800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45800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45800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45800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45800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45800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45800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45800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45800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45800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45800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45800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45800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45800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45800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45800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45800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45800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45800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45800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45800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45800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45800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45800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45800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45800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45800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45800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45800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45800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45800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45800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45800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45800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45800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45800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45800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45800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45800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45800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45800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45800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45800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45800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45800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45800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45800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45800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45800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45800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45800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45800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45800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45800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45800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45800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45800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45800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45800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45800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45800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45800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45800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45800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45800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45800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45800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45800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45800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45800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45800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45800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45800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45800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45800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45800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45800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45800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45800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45800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45800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45800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45800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45800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45800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45800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45800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45800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45800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45800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45800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45800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45800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45800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45800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45800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45800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45800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45800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45800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45800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45800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45800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45800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45800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45800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45800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45800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45800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45800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45800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45800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45800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45800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45800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45800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45800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45800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45800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45800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45800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45800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45800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45800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45800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45800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45800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45800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45800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45800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45800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45800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45800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45800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45800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45800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45800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45800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45800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45800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45800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45800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45800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45800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45800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45800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45800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45800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45800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45800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45800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45800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45800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45800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45800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45800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45800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45800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45800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45800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45800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45800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45800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45800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45800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45800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45800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45800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45800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45800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45800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45800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45800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45800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45800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45800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45800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45800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45800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45800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45800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45800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45800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45800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45800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45800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45800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45800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45800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45800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45800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45800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45800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45800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45800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45800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45800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45800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45800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45800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45800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45800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45800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45800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45800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45800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45800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45800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45800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45800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45800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45800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45800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45800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45800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45800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45800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45800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45800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45800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45800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45800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45800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45800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45800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45800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45800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45800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45800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45800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45800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45800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45800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45800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45800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45800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45800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45800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45800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45800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45800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45800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45800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45800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45800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45800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45800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45800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45800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45800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45800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45800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45800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45800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45800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62395-2023</t>
        </is>
      </c>
      <c r="B461" s="1" t="n">
        <v>45266</v>
      </c>
      <c r="C461" s="1" t="n">
        <v>45800</v>
      </c>
      <c r="D461" t="inlineStr">
        <is>
          <t>NORRBOTTENS LÄN</t>
        </is>
      </c>
      <c r="E461" t="inlineStr">
        <is>
          <t>ÄLVSBYN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45800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45800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45800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45800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45800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45800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45800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45800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45800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45800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45800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45800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45800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45800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45800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45800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45800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45800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45800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45800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45800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45800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45800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45800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45800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45800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45800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45800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45800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45800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45800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45800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45800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45800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45800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45800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45800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45800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45800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45800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45800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45800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45800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45800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45800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45800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45800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45800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45800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45800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45800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45800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45800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45800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45800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45800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45800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45800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45800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45800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45800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45800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45800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45800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45800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45800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45800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45800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45800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45800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45800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45800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45800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45800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45800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45800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45800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45800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45800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45800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45800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45800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45800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45800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45800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45800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45800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45800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45800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45800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45800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45800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45800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45800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45800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45800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45800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45800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45800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45800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45800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45800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45800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45800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45800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45800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45800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45800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45800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45800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45800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45800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45800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45800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45800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45800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45800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45800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45800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45800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45800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45800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45800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45800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45800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45800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45800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45800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45800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45800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45800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45800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45800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45800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45800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45800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45800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45800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45800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45800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45800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45800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45800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45800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45800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45800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45800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45800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45800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45800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45800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45800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45800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45800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45800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45800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45800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45800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45800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45800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45800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45800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45800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45800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45800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45800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45800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45800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45800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45800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45800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45800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45800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45800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45800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45800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45800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45800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45800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45800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45800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45800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45800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45800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45800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45800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45800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45800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45800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45800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45800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45800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45800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45800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45800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45800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45800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45800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45800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45800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45800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45800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45800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45800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45800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45800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45800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45800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45800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45800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45800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45800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45800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45800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45800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45800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45800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45800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45800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45800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45800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45800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45800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45800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45800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45800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45800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45800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45800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45800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45800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45800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45800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45800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45800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45800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45800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45800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45800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45800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45800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45800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20187-2025</t>
        </is>
      </c>
      <c r="B736" s="1" t="n">
        <v>45772</v>
      </c>
      <c r="C736" s="1" t="n">
        <v>45800</v>
      </c>
      <c r="D736" t="inlineStr">
        <is>
          <t>NORRBOTTENS LÄN</t>
        </is>
      </c>
      <c r="E736" t="inlineStr">
        <is>
          <t>ÄLVSBYN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20158-2025</t>
        </is>
      </c>
      <c r="B737" s="1" t="n">
        <v>45772</v>
      </c>
      <c r="C737" s="1" t="n">
        <v>45800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20179-2025</t>
        </is>
      </c>
      <c r="B738" s="1" t="n">
        <v>45772</v>
      </c>
      <c r="C738" s="1" t="n">
        <v>45800</v>
      </c>
      <c r="D738" t="inlineStr">
        <is>
          <t>NORRBOTTENS LÄN</t>
        </is>
      </c>
      <c r="E738" t="inlineStr">
        <is>
          <t>ÄLVSBYN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20243-2025</t>
        </is>
      </c>
      <c r="B739" s="1" t="n">
        <v>45772</v>
      </c>
      <c r="C739" s="1" t="n">
        <v>45800</v>
      </c>
      <c r="D739" t="inlineStr">
        <is>
          <t>NORRBOTTENS LÄN</t>
        </is>
      </c>
      <c r="E739" t="inlineStr">
        <is>
          <t>ÄLVSBYN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45800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45800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45800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45800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45800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45800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23354-2025</t>
        </is>
      </c>
      <c r="B746" s="1" t="n">
        <v>45791</v>
      </c>
      <c r="C746" s="1" t="n">
        <v>45800</v>
      </c>
      <c r="D746" t="inlineStr">
        <is>
          <t>NORRBOTTENS LÄN</t>
        </is>
      </c>
      <c r="E746" t="inlineStr">
        <is>
          <t>ÄLVSBYN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45800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45800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45800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24763-2025</t>
        </is>
      </c>
      <c r="B750" s="1" t="n">
        <v>45799</v>
      </c>
      <c r="C750" s="1" t="n">
        <v>45800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2025-05-23T18:13:53Z</dcterms:created>
  <dcterms:modified xmlns:dcterms="http://purl.org/dc/terms/" xmlns:xsi="http://www.w3.org/2001/XMLSchema-instance" xsi:type="dcterms:W3CDTF">2025-05-23T18:13:53Z</dcterms:modified>
</cp:coreProperties>
</file>