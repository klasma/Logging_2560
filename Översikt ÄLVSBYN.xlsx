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45349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  <c r="Z2">
        <f>HYPERLINK("https://klasma.github.io/Logging_2560/fåglar/A 52981-2023 prioriterade fågelarter.docx",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45349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11</v>
      </c>
      <c r="R3" s="2" t="inlineStr">
        <is>
          <t>Goliatmusseron
Rotfingersvamp
Tallgråticka
Blå taggsvamp
Orange taggsvamp
Skrovlig taggsvamp
Svart taggsvamp
Tallriska
Talltaggsvamp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59589-2023</t>
        </is>
      </c>
      <c r="B4" s="1" t="n">
        <v>45254</v>
      </c>
      <c r="C4" s="1" t="n">
        <v>45349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1.8</v>
      </c>
      <c r="H4" t="n">
        <v>0</v>
      </c>
      <c r="I4" t="n">
        <v>2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11</v>
      </c>
      <c r="R4" s="2" t="inlineStr">
        <is>
          <t>Goliatmusseron
Tallgråticka
Blå taggsvamp
Orange taggsvamp
Skrovlig taggsvamp
Svart taggsvamp
Svartvit taggsvamp
Tallriska
Talltaggsvamp
Dropptaggsvamp
Skarp dropptaggsvamp</t>
        </is>
      </c>
      <c r="S4">
        <f>HYPERLINK("https://klasma.github.io/Logging_2560/artfynd/A 59589-2023 artfynd.xlsx", "A 59589-2023")</f>
        <v/>
      </c>
      <c r="T4">
        <f>HYPERLINK("https://klasma.github.io/Logging_2560/kartor/A 59589-2023 karta.png", "A 59589-2023")</f>
        <v/>
      </c>
      <c r="V4">
        <f>HYPERLINK("https://klasma.github.io/Logging_2560/klagomål/A 59589-2023 FSC-klagomål.docx", "A 59589-2023")</f>
        <v/>
      </c>
      <c r="W4">
        <f>HYPERLINK("https://klasma.github.io/Logging_2560/klagomålsmail/A 59589-2023 FSC-klagomål mail.docx", "A 59589-2023")</f>
        <v/>
      </c>
      <c r="X4">
        <f>HYPERLINK("https://klasma.github.io/Logging_2560/tillsyn/A 59589-2023 tillsynsbegäran.docx", "A 59589-2023")</f>
        <v/>
      </c>
      <c r="Y4">
        <f>HYPERLINK("https://klasma.github.io/Logging_2560/tillsynsmail/A 59589-2023 tillsynsbegäran mail.docx", "A 59589-2023")</f>
        <v/>
      </c>
    </row>
    <row r="5" ht="15" customHeight="1">
      <c r="A5" t="inlineStr">
        <is>
          <t>A 47721-2018</t>
        </is>
      </c>
      <c r="B5" s="1" t="n">
        <v>43369</v>
      </c>
      <c r="C5" s="1" t="n">
        <v>45349</v>
      </c>
      <c r="D5" t="inlineStr">
        <is>
          <t>NORRBOTTENS LÄN</t>
        </is>
      </c>
      <c r="E5" t="inlineStr">
        <is>
          <t>ÄLVSBYN</t>
        </is>
      </c>
      <c r="G5" t="n">
        <v>13.6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Rynkskinn
Granticka
Lunglav
Småflikig brosklav
Talltita
Tretåig hackspett
Skinnlav</t>
        </is>
      </c>
      <c r="S5">
        <f>HYPERLINK("https://klasma.github.io/Logging_2560/artfynd/A 47721-2018 artfynd.xlsx", "A 47721-2018")</f>
        <v/>
      </c>
      <c r="T5">
        <f>HYPERLINK("https://klasma.github.io/Logging_2560/kartor/A 47721-2018 karta.png", "A 47721-2018")</f>
        <v/>
      </c>
      <c r="V5">
        <f>HYPERLINK("https://klasma.github.io/Logging_2560/klagomål/A 47721-2018 FSC-klagomål.docx", "A 47721-2018")</f>
        <v/>
      </c>
      <c r="W5">
        <f>HYPERLINK("https://klasma.github.io/Logging_2560/klagomålsmail/A 47721-2018 FSC-klagomål mail.docx", "A 47721-2018")</f>
        <v/>
      </c>
      <c r="X5">
        <f>HYPERLINK("https://klasma.github.io/Logging_2560/tillsyn/A 47721-2018 tillsynsbegäran.docx", "A 47721-2018")</f>
        <v/>
      </c>
      <c r="Y5">
        <f>HYPERLINK("https://klasma.github.io/Logging_2560/tillsynsmail/A 47721-2018 tillsynsbegäran mail.docx", "A 47721-2018")</f>
        <v/>
      </c>
      <c r="Z5">
        <f>HYPERLINK("https://klasma.github.io/Logging_2560/fåglar/A 47721-2018 prioriterade fågelarter.docx", "A 47721-2018")</f>
        <v/>
      </c>
    </row>
    <row r="6" ht="15" customHeight="1">
      <c r="A6" t="inlineStr">
        <is>
          <t>A 586-2024</t>
        </is>
      </c>
      <c r="B6" s="1" t="n">
        <v>45299</v>
      </c>
      <c r="C6" s="1" t="n">
        <v>45349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19.5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Motaggsvamp
Orange taggsvamp
Svart taggsvamp
Skarp dropptaggsvamp</t>
        </is>
      </c>
      <c r="S6">
        <f>HYPERLINK("https://klasma.github.io/Logging_2560/artfynd/A 586-2024 artfynd.xlsx", "A 586-2024")</f>
        <v/>
      </c>
      <c r="T6">
        <f>HYPERLINK("https://klasma.github.io/Logging_2560/kartor/A 586-2024 karta.png", "A 586-2024")</f>
        <v/>
      </c>
      <c r="V6">
        <f>HYPERLINK("https://klasma.github.io/Logging_2560/klagomål/A 586-2024 FSC-klagomål.docx", "A 586-2024")</f>
        <v/>
      </c>
      <c r="W6">
        <f>HYPERLINK("https://klasma.github.io/Logging_2560/klagomålsmail/A 586-2024 FSC-klagomål mail.docx", "A 586-2024")</f>
        <v/>
      </c>
      <c r="X6">
        <f>HYPERLINK("https://klasma.github.io/Logging_2560/tillsyn/A 586-2024 tillsynsbegäran.docx", "A 586-2024")</f>
        <v/>
      </c>
      <c r="Y6">
        <f>HYPERLINK("https://klasma.github.io/Logging_2560/tillsynsmail/A 586-2024 tillsynsbegäran mail.docx", "A 586-2024")</f>
        <v/>
      </c>
    </row>
    <row r="7" ht="15" customHeight="1">
      <c r="A7" t="inlineStr">
        <is>
          <t>A 3573-2024</t>
        </is>
      </c>
      <c r="B7" s="1" t="n">
        <v>45320</v>
      </c>
      <c r="C7" s="1" t="n">
        <v>45349</v>
      </c>
      <c r="D7" t="inlineStr">
        <is>
          <t>NORRBOTTENS LÄN</t>
        </is>
      </c>
      <c r="E7" t="inlineStr">
        <is>
          <t>ÄLVSBYN</t>
        </is>
      </c>
      <c r="G7" t="n">
        <v>5.5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Kolflarnlav
Vedflamlav
Norrlandslav
Plattlummer</t>
        </is>
      </c>
      <c r="S7">
        <f>HYPERLINK("https://klasma.github.io/Logging_2560/artfynd/A 3573-2024 artfynd.xlsx", "A 3573-2024")</f>
        <v/>
      </c>
      <c r="T7">
        <f>HYPERLINK("https://klasma.github.io/Logging_2560/kartor/A 3573-2024 karta.png", "A 3573-2024")</f>
        <v/>
      </c>
      <c r="U7">
        <f>HYPERLINK("https://klasma.github.io/Logging_2560/knärot/A 3573-2024 karta knärot.png", "A 3573-2024")</f>
        <v/>
      </c>
      <c r="V7">
        <f>HYPERLINK("https://klasma.github.io/Logging_2560/klagomål/A 3573-2024 FSC-klagomål.docx", "A 3573-2024")</f>
        <v/>
      </c>
      <c r="W7">
        <f>HYPERLINK("https://klasma.github.io/Logging_2560/klagomålsmail/A 3573-2024 FSC-klagomål mail.docx", "A 3573-2024")</f>
        <v/>
      </c>
      <c r="X7">
        <f>HYPERLINK("https://klasma.github.io/Logging_2560/tillsyn/A 3573-2024 tillsynsbegäran.docx", "A 3573-2024")</f>
        <v/>
      </c>
      <c r="Y7">
        <f>HYPERLINK("https://klasma.github.io/Logging_2560/tillsynsmail/A 3573-2024 tillsynsbegäran mail.docx", "A 3573-2024")</f>
        <v/>
      </c>
    </row>
    <row r="8" ht="15" customHeight="1">
      <c r="A8" t="inlineStr">
        <is>
          <t>A 3752-2023</t>
        </is>
      </c>
      <c r="B8" s="1" t="n">
        <v>44949</v>
      </c>
      <c r="C8" s="1" t="n">
        <v>45349</v>
      </c>
      <c r="D8" t="inlineStr">
        <is>
          <t>NORRBOTTENS LÄN</t>
        </is>
      </c>
      <c r="E8" t="inlineStr">
        <is>
          <t>ÄLVSBYN</t>
        </is>
      </c>
      <c r="G8" t="n">
        <v>3.7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Tretåig hackspett
Ullticka</t>
        </is>
      </c>
      <c r="S8">
        <f>HYPERLINK("https://klasma.github.io/Logging_2560/artfynd/A 3752-2023 artfynd.xlsx", "A 3752-2023")</f>
        <v/>
      </c>
      <c r="T8">
        <f>HYPERLINK("https://klasma.github.io/Logging_2560/kartor/A 3752-2023 karta.png", "A 3752-2023")</f>
        <v/>
      </c>
      <c r="V8">
        <f>HYPERLINK("https://klasma.github.io/Logging_2560/klagomål/A 3752-2023 FSC-klagomål.docx", "A 3752-2023")</f>
        <v/>
      </c>
      <c r="W8">
        <f>HYPERLINK("https://klasma.github.io/Logging_2560/klagomålsmail/A 3752-2023 FSC-klagomål mail.docx", "A 3752-2023")</f>
        <v/>
      </c>
      <c r="X8">
        <f>HYPERLINK("https://klasma.github.io/Logging_2560/tillsyn/A 3752-2023 tillsynsbegäran.docx", "A 3752-2023")</f>
        <v/>
      </c>
      <c r="Y8">
        <f>HYPERLINK("https://klasma.github.io/Logging_2560/tillsynsmail/A 3752-2023 tillsynsbegäran mail.docx", "A 3752-2023")</f>
        <v/>
      </c>
      <c r="Z8">
        <f>HYPERLINK("https://klasma.github.io/Logging_2560/fåglar/A 3752-2023 prioriterade fågelarter.docx", "A 3752-2023")</f>
        <v/>
      </c>
    </row>
    <row r="9" ht="15" customHeight="1">
      <c r="A9" t="inlineStr">
        <is>
          <t>A 28088-2023</t>
        </is>
      </c>
      <c r="B9" s="1" t="n">
        <v>45099</v>
      </c>
      <c r="C9" s="1" t="n">
        <v>45349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Fläckporing
Kolflarnlav
Lunglav</t>
        </is>
      </c>
      <c r="S9">
        <f>HYPERLINK("https://klasma.github.io/Logging_2560/artfynd/A 28088-2023 artfynd.xlsx", "A 28088-2023")</f>
        <v/>
      </c>
      <c r="T9">
        <f>HYPERLINK("https://klasma.github.io/Logging_2560/kartor/A 28088-2023 karta.png", "A 28088-2023")</f>
        <v/>
      </c>
      <c r="V9">
        <f>HYPERLINK("https://klasma.github.io/Logging_2560/klagomål/A 28088-2023 FSC-klagomål.docx", "A 28088-2023")</f>
        <v/>
      </c>
      <c r="W9">
        <f>HYPERLINK("https://klasma.github.io/Logging_2560/klagomålsmail/A 28088-2023 FSC-klagomål mail.docx", "A 28088-2023")</f>
        <v/>
      </c>
      <c r="X9">
        <f>HYPERLINK("https://klasma.github.io/Logging_2560/tillsyn/A 28088-2023 tillsynsbegäran.docx", "A 28088-2023")</f>
        <v/>
      </c>
      <c r="Y9">
        <f>HYPERLINK("https://klasma.github.io/Logging_2560/tillsynsmail/A 28088-2023 tillsynsbegäran mail.docx", "A 28088-2023")</f>
        <v/>
      </c>
    </row>
    <row r="10" ht="15" customHeight="1">
      <c r="A10" t="inlineStr">
        <is>
          <t>A 47132-2023</t>
        </is>
      </c>
      <c r="B10" s="1" t="n">
        <v>45201</v>
      </c>
      <c r="C10" s="1" t="n">
        <v>45349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Motaggsvamp
Skrovlig taggsvamp
Tallriska</t>
        </is>
      </c>
      <c r="S10">
        <f>HYPERLINK("https://klasma.github.io/Logging_2560/artfynd/A 47132-2023 artfynd.xlsx", "A 47132-2023")</f>
        <v/>
      </c>
      <c r="T10">
        <f>HYPERLINK("https://klasma.github.io/Logging_2560/kartor/A 47132-2023 karta.png", "A 47132-2023")</f>
        <v/>
      </c>
      <c r="V10">
        <f>HYPERLINK("https://klasma.github.io/Logging_2560/klagomål/A 47132-2023 FSC-klagomål.docx", "A 47132-2023")</f>
        <v/>
      </c>
      <c r="W10">
        <f>HYPERLINK("https://klasma.github.io/Logging_2560/klagomålsmail/A 47132-2023 FSC-klagomål mail.docx", "A 47132-2023")</f>
        <v/>
      </c>
      <c r="X10">
        <f>HYPERLINK("https://klasma.github.io/Logging_2560/tillsyn/A 47132-2023 tillsynsbegäran.docx", "A 47132-2023")</f>
        <v/>
      </c>
      <c r="Y10">
        <f>HYPERLINK("https://klasma.github.io/Logging_2560/tillsynsmail/A 47132-2023 tillsynsbegäran mail.docx", "A 47132-2023")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45349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Kolflarnlav
Svart taggsvamp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8612-2020</t>
        </is>
      </c>
      <c r="B12" s="1" t="n">
        <v>43875</v>
      </c>
      <c r="C12" s="1" t="n">
        <v>45349</v>
      </c>
      <c r="D12" t="inlineStr">
        <is>
          <t>NORRBOTTENS LÄN</t>
        </is>
      </c>
      <c r="E12" t="inlineStr">
        <is>
          <t>ÄLVSBYN</t>
        </is>
      </c>
      <c r="G12" t="n">
        <v>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Rotfingersvamp
Smalfotad taggsvamp</t>
        </is>
      </c>
      <c r="S12">
        <f>HYPERLINK("https://klasma.github.io/Logging_2560/artfynd/A 8612-2020 artfynd.xlsx", "A 8612-2020")</f>
        <v/>
      </c>
      <c r="T12">
        <f>HYPERLINK("https://klasma.github.io/Logging_2560/kartor/A 8612-2020 karta.png", "A 8612-2020")</f>
        <v/>
      </c>
      <c r="V12">
        <f>HYPERLINK("https://klasma.github.io/Logging_2560/klagomål/A 8612-2020 FSC-klagomål.docx", "A 8612-2020")</f>
        <v/>
      </c>
      <c r="W12">
        <f>HYPERLINK("https://klasma.github.io/Logging_2560/klagomålsmail/A 8612-2020 FSC-klagomål mail.docx", "A 8612-2020")</f>
        <v/>
      </c>
      <c r="X12">
        <f>HYPERLINK("https://klasma.github.io/Logging_2560/tillsyn/A 8612-2020 tillsynsbegäran.docx", "A 8612-2020")</f>
        <v/>
      </c>
      <c r="Y12">
        <f>HYPERLINK("https://klasma.github.io/Logging_2560/tillsynsmail/A 8612-2020 tillsynsbegäran mail.docx", "A 8612-2020")</f>
        <v/>
      </c>
    </row>
    <row r="13" ht="15" customHeight="1">
      <c r="A13" t="inlineStr">
        <is>
          <t>A 52513-2022</t>
        </is>
      </c>
      <c r="B13" s="1" t="n">
        <v>44874</v>
      </c>
      <c r="C13" s="1" t="n">
        <v>45349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Lunglav</t>
        </is>
      </c>
      <c r="S13">
        <f>HYPERLINK("https://klasma.github.io/Logging_2560/artfynd/A 52513-2022 artfynd.xlsx", "A 52513-2022")</f>
        <v/>
      </c>
      <c r="T13">
        <f>HYPERLINK("https://klasma.github.io/Logging_2560/kartor/A 52513-2022 karta.png", "A 52513-2022")</f>
        <v/>
      </c>
      <c r="V13">
        <f>HYPERLINK("https://klasma.github.io/Logging_2560/klagomål/A 52513-2022 FSC-klagomål.docx", "A 52513-2022")</f>
        <v/>
      </c>
      <c r="W13">
        <f>HYPERLINK("https://klasma.github.io/Logging_2560/klagomålsmail/A 52513-2022 FSC-klagomål mail.docx", "A 52513-2022")</f>
        <v/>
      </c>
      <c r="X13">
        <f>HYPERLINK("https://klasma.github.io/Logging_2560/tillsyn/A 52513-2022 tillsynsbegäran.docx", "A 52513-2022")</f>
        <v/>
      </c>
      <c r="Y13">
        <f>HYPERLINK("https://klasma.github.io/Logging_2560/tillsynsmail/A 52513-2022 tillsynsbegäran mail.docx", "A 52513-2022")</f>
        <v/>
      </c>
    </row>
    <row r="14" ht="15" customHeight="1">
      <c r="A14" t="inlineStr">
        <is>
          <t>A 29877-2023</t>
        </is>
      </c>
      <c r="B14" s="1" t="n">
        <v>45107</v>
      </c>
      <c r="C14" s="1" t="n">
        <v>45349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Lunglav</t>
        </is>
      </c>
      <c r="S14">
        <f>HYPERLINK("https://klasma.github.io/Logging_2560/artfynd/A 29877-2023 artfynd.xlsx", "A 29877-2023")</f>
        <v/>
      </c>
      <c r="T14">
        <f>HYPERLINK("https://klasma.github.io/Logging_2560/kartor/A 29877-2023 karta.png", "A 29877-2023")</f>
        <v/>
      </c>
      <c r="V14">
        <f>HYPERLINK("https://klasma.github.io/Logging_2560/klagomål/A 29877-2023 FSC-klagomål.docx", "A 29877-2023")</f>
        <v/>
      </c>
      <c r="W14">
        <f>HYPERLINK("https://klasma.github.io/Logging_2560/klagomålsmail/A 29877-2023 FSC-klagomål mail.docx", "A 29877-2023")</f>
        <v/>
      </c>
      <c r="X14">
        <f>HYPERLINK("https://klasma.github.io/Logging_2560/tillsyn/A 29877-2023 tillsynsbegäran.docx", "A 29877-2023")</f>
        <v/>
      </c>
      <c r="Y14">
        <f>HYPERLINK("https://klasma.github.io/Logging_2560/tillsynsmail/A 29877-2023 tillsynsbegäran mail.docx", "A 29877-2023")</f>
        <v/>
      </c>
    </row>
    <row r="15" ht="15" customHeight="1">
      <c r="A15" t="inlineStr">
        <is>
          <t>A 47131-2023</t>
        </is>
      </c>
      <c r="B15" s="1" t="n">
        <v>45201</v>
      </c>
      <c r="C15" s="1" t="n">
        <v>45349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13.6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Tallriska</t>
        </is>
      </c>
      <c r="S15">
        <f>HYPERLINK("https://klasma.github.io/Logging_2560/artfynd/A 47131-2023 artfynd.xlsx", "A 47131-2023")</f>
        <v/>
      </c>
      <c r="T15">
        <f>HYPERLINK("https://klasma.github.io/Logging_2560/kartor/A 47131-2023 karta.png", "A 47131-2023")</f>
        <v/>
      </c>
      <c r="V15">
        <f>HYPERLINK("https://klasma.github.io/Logging_2560/klagomål/A 47131-2023 FSC-klagomål.docx", "A 47131-2023")</f>
        <v/>
      </c>
      <c r="W15">
        <f>HYPERLINK("https://klasma.github.io/Logging_2560/klagomålsmail/A 47131-2023 FSC-klagomål mail.docx", "A 47131-2023")</f>
        <v/>
      </c>
      <c r="X15">
        <f>HYPERLINK("https://klasma.github.io/Logging_2560/tillsyn/A 47131-2023 tillsynsbegäran.docx", "A 47131-2023")</f>
        <v/>
      </c>
      <c r="Y15">
        <f>HYPERLINK("https://klasma.github.io/Logging_2560/tillsynsmail/A 47131-2023 tillsynsbegäran mail.docx", "A 47131-2023")</f>
        <v/>
      </c>
    </row>
    <row r="16" ht="15" customHeight="1">
      <c r="A16" t="inlineStr">
        <is>
          <t>A 569-2024</t>
        </is>
      </c>
      <c r="B16" s="1" t="n">
        <v>45299</v>
      </c>
      <c r="C16" s="1" t="n">
        <v>45349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Skarp dropptaggsvamp</t>
        </is>
      </c>
      <c r="S16">
        <f>HYPERLINK("https://klasma.github.io/Logging_2560/artfynd/A 569-2024 artfynd.xlsx", "A 569-2024")</f>
        <v/>
      </c>
      <c r="T16">
        <f>HYPERLINK("https://klasma.github.io/Logging_2560/kartor/A 569-2024 karta.png", "A 569-2024")</f>
        <v/>
      </c>
      <c r="V16">
        <f>HYPERLINK("https://klasma.github.io/Logging_2560/klagomål/A 569-2024 FSC-klagomål.docx", "A 569-2024")</f>
        <v/>
      </c>
      <c r="W16">
        <f>HYPERLINK("https://klasma.github.io/Logging_2560/klagomålsmail/A 569-2024 FSC-klagomål mail.docx", "A 569-2024")</f>
        <v/>
      </c>
      <c r="X16">
        <f>HYPERLINK("https://klasma.github.io/Logging_2560/tillsyn/A 569-2024 tillsynsbegäran.docx", "A 569-2024")</f>
        <v/>
      </c>
      <c r="Y16">
        <f>HYPERLINK("https://klasma.github.io/Logging_2560/tillsynsmail/A 569-2024 tillsynsbegäran mail.docx", "A 569-2024")</f>
        <v/>
      </c>
    </row>
    <row r="17" ht="15" customHeight="1">
      <c r="A17" t="inlineStr">
        <is>
          <t>A 51078-2019</t>
        </is>
      </c>
      <c r="B17" s="1" t="n">
        <v>43739</v>
      </c>
      <c r="C17" s="1" t="n">
        <v>45349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HYPERLINK("https://klasma.github.io/Logging_2560/artfynd/A 51078-2019 artfynd.xlsx", "A 51078-2019")</f>
        <v/>
      </c>
      <c r="T17">
        <f>HYPERLINK("https://klasma.github.io/Logging_2560/kartor/A 51078-2019 karta.png", "A 51078-2019")</f>
        <v/>
      </c>
      <c r="V17">
        <f>HYPERLINK("https://klasma.github.io/Logging_2560/klagomål/A 51078-2019 FSC-klagomål.docx", "A 51078-2019")</f>
        <v/>
      </c>
      <c r="W17">
        <f>HYPERLINK("https://klasma.github.io/Logging_2560/klagomålsmail/A 51078-2019 FSC-klagomål mail.docx", "A 51078-2019")</f>
        <v/>
      </c>
      <c r="X17">
        <f>HYPERLINK("https://klasma.github.io/Logging_2560/tillsyn/A 51078-2019 tillsynsbegäran.docx", "A 51078-2019")</f>
        <v/>
      </c>
      <c r="Y17">
        <f>HYPERLINK("https://klasma.github.io/Logging_2560/tillsynsmail/A 51078-2019 tillsynsbegäran mail.docx", "A 51078-2019")</f>
        <v/>
      </c>
      <c r="Z17">
        <f>HYPERLINK("https://klasma.github.io/Logging_2560/fåglar/A 51078-2019 prioriterade fågelarter.docx", "A 51078-2019")</f>
        <v/>
      </c>
    </row>
    <row r="18" ht="15" customHeight="1">
      <c r="A18" t="inlineStr">
        <is>
          <t>A 58201-2021</t>
        </is>
      </c>
      <c r="B18" s="1" t="n">
        <v>44487</v>
      </c>
      <c r="C18" s="1" t="n">
        <v>45349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HYPERLINK("https://klasma.github.io/Logging_2560/artfynd/A 58201-2021 artfynd.xlsx", "A 58201-2021")</f>
        <v/>
      </c>
      <c r="T18">
        <f>HYPERLINK("https://klasma.github.io/Logging_2560/kartor/A 58201-2021 karta.png", "A 58201-2021")</f>
        <v/>
      </c>
      <c r="V18">
        <f>HYPERLINK("https://klasma.github.io/Logging_2560/klagomål/A 58201-2021 FSC-klagomål.docx", "A 58201-2021")</f>
        <v/>
      </c>
      <c r="W18">
        <f>HYPERLINK("https://klasma.github.io/Logging_2560/klagomålsmail/A 58201-2021 FSC-klagomål mail.docx", "A 58201-2021")</f>
        <v/>
      </c>
      <c r="X18">
        <f>HYPERLINK("https://klasma.github.io/Logging_2560/tillsyn/A 58201-2021 tillsynsbegäran.docx", "A 58201-2021")</f>
        <v/>
      </c>
      <c r="Y18">
        <f>HYPERLINK("https://klasma.github.io/Logging_2560/tillsynsmail/A 58201-2021 tillsynsbegäran mail.docx", "A 58201-2021")</f>
        <v/>
      </c>
      <c r="Z18">
        <f>HYPERLINK("https://klasma.github.io/Logging_2560/fåglar/A 58201-2021 prioriterade fågelarter.docx", "A 58201-2021")</f>
        <v/>
      </c>
    </row>
    <row r="19" ht="15" customHeight="1">
      <c r="A19" t="inlineStr">
        <is>
          <t>A 16470-2022</t>
        </is>
      </c>
      <c r="B19" s="1" t="n">
        <v>44671</v>
      </c>
      <c r="C19" s="1" t="n">
        <v>45349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6.6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HYPERLINK("https://klasma.github.io/Logging_2560/artfynd/A 16470-2022 artfynd.xlsx", "A 16470-2022")</f>
        <v/>
      </c>
      <c r="T19">
        <f>HYPERLINK("https://klasma.github.io/Logging_2560/kartor/A 16470-2022 karta.png", "A 16470-2022")</f>
        <v/>
      </c>
      <c r="V19">
        <f>HYPERLINK("https://klasma.github.io/Logging_2560/klagomål/A 16470-2022 FSC-klagomål.docx", "A 16470-2022")</f>
        <v/>
      </c>
      <c r="W19">
        <f>HYPERLINK("https://klasma.github.io/Logging_2560/klagomålsmail/A 16470-2022 FSC-klagomål mail.docx", "A 16470-2022")</f>
        <v/>
      </c>
      <c r="X19">
        <f>HYPERLINK("https://klasma.github.io/Logging_2560/tillsyn/A 16470-2022 tillsynsbegäran.docx", "A 16470-2022")</f>
        <v/>
      </c>
      <c r="Y19">
        <f>HYPERLINK("https://klasma.github.io/Logging_2560/tillsynsmail/A 16470-2022 tillsynsbegäran mail.docx", "A 16470-2022")</f>
        <v/>
      </c>
    </row>
    <row r="20" ht="15" customHeight="1">
      <c r="A20" t="inlineStr">
        <is>
          <t>A 34022-2022</t>
        </is>
      </c>
      <c r="B20" s="1" t="n">
        <v>44791</v>
      </c>
      <c r="C20" s="1" t="n">
        <v>45349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HYPERLINK("https://klasma.github.io/Logging_2560/artfynd/A 34022-2022 artfynd.xlsx", "A 34022-2022")</f>
        <v/>
      </c>
      <c r="T20">
        <f>HYPERLINK("https://klasma.github.io/Logging_2560/kartor/A 34022-2022 karta.png", "A 34022-2022")</f>
        <v/>
      </c>
      <c r="V20">
        <f>HYPERLINK("https://klasma.github.io/Logging_2560/klagomål/A 34022-2022 FSC-klagomål.docx", "A 34022-2022")</f>
        <v/>
      </c>
      <c r="W20">
        <f>HYPERLINK("https://klasma.github.io/Logging_2560/klagomålsmail/A 34022-2022 FSC-klagomål mail.docx", "A 34022-2022")</f>
        <v/>
      </c>
      <c r="X20">
        <f>HYPERLINK("https://klasma.github.io/Logging_2560/tillsyn/A 34022-2022 tillsynsbegäran.docx", "A 34022-2022")</f>
        <v/>
      </c>
      <c r="Y20">
        <f>HYPERLINK("https://klasma.github.io/Logging_2560/tillsynsmail/A 34022-2022 tillsynsbegäran mail.docx", "A 34022-2022")</f>
        <v/>
      </c>
    </row>
    <row r="21" ht="15" customHeight="1">
      <c r="A21" t="inlineStr">
        <is>
          <t>A 38620-2022</t>
        </is>
      </c>
      <c r="B21" s="1" t="n">
        <v>44813</v>
      </c>
      <c r="C21" s="1" t="n">
        <v>45349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Blå taggsvamp</t>
        </is>
      </c>
      <c r="S21">
        <f>HYPERLINK("https://klasma.github.io/Logging_2560/artfynd/A 38620-2022 artfynd.xlsx", "A 38620-2022")</f>
        <v/>
      </c>
      <c r="T21">
        <f>HYPERLINK("https://klasma.github.io/Logging_2560/kartor/A 38620-2022 karta.png", "A 38620-2022")</f>
        <v/>
      </c>
      <c r="V21">
        <f>HYPERLINK("https://klasma.github.io/Logging_2560/klagomål/A 38620-2022 FSC-klagomål.docx", "A 38620-2022")</f>
        <v/>
      </c>
      <c r="W21">
        <f>HYPERLINK("https://klasma.github.io/Logging_2560/klagomålsmail/A 38620-2022 FSC-klagomål mail.docx", "A 38620-2022")</f>
        <v/>
      </c>
      <c r="X21">
        <f>HYPERLINK("https://klasma.github.io/Logging_2560/tillsyn/A 38620-2022 tillsynsbegäran.docx", "A 38620-2022")</f>
        <v/>
      </c>
      <c r="Y21">
        <f>HYPERLINK("https://klasma.github.io/Logging_2560/tillsynsmail/A 38620-2022 tillsynsbegäran mail.docx", "A 38620-2022")</f>
        <v/>
      </c>
    </row>
    <row r="22" ht="15" customHeight="1">
      <c r="A22" t="inlineStr">
        <is>
          <t>A 42680-2022</t>
        </is>
      </c>
      <c r="B22" s="1" t="n">
        <v>44832</v>
      </c>
      <c r="C22" s="1" t="n">
        <v>45349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HYPERLINK("https://klasma.github.io/Logging_2560/artfynd/A 42680-2022 artfynd.xlsx", "A 42680-2022")</f>
        <v/>
      </c>
      <c r="T22">
        <f>HYPERLINK("https://klasma.github.io/Logging_2560/kartor/A 42680-2022 karta.png", "A 42680-2022")</f>
        <v/>
      </c>
      <c r="V22">
        <f>HYPERLINK("https://klasma.github.io/Logging_2560/klagomål/A 42680-2022 FSC-klagomål.docx", "A 42680-2022")</f>
        <v/>
      </c>
      <c r="W22">
        <f>HYPERLINK("https://klasma.github.io/Logging_2560/klagomålsmail/A 42680-2022 FSC-klagomål mail.docx", "A 42680-2022")</f>
        <v/>
      </c>
      <c r="X22">
        <f>HYPERLINK("https://klasma.github.io/Logging_2560/tillsyn/A 42680-2022 tillsynsbegäran.docx", "A 42680-2022")</f>
        <v/>
      </c>
      <c r="Y22">
        <f>HYPERLINK("https://klasma.github.io/Logging_2560/tillsynsmail/A 42680-2022 tillsynsbegäran mail.docx", "A 42680-2022")</f>
        <v/>
      </c>
    </row>
    <row r="23" ht="15" customHeight="1">
      <c r="A23" t="inlineStr">
        <is>
          <t>A 44283-2022</t>
        </is>
      </c>
      <c r="B23" s="1" t="n">
        <v>44839</v>
      </c>
      <c r="C23" s="1" t="n">
        <v>45349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HYPERLINK("https://klasma.github.io/Logging_2560/artfynd/A 44283-2022 artfynd.xlsx", "A 44283-2022")</f>
        <v/>
      </c>
      <c r="T23">
        <f>HYPERLINK("https://klasma.github.io/Logging_2560/kartor/A 44283-2022 karta.png", "A 44283-2022")</f>
        <v/>
      </c>
      <c r="V23">
        <f>HYPERLINK("https://klasma.github.io/Logging_2560/klagomål/A 44283-2022 FSC-klagomål.docx", "A 44283-2022")</f>
        <v/>
      </c>
      <c r="W23">
        <f>HYPERLINK("https://klasma.github.io/Logging_2560/klagomålsmail/A 44283-2022 FSC-klagomål mail.docx", "A 44283-2022")</f>
        <v/>
      </c>
      <c r="X23">
        <f>HYPERLINK("https://klasma.github.io/Logging_2560/tillsyn/A 44283-2022 tillsynsbegäran.docx", "A 44283-2022")</f>
        <v/>
      </c>
      <c r="Y23">
        <f>HYPERLINK("https://klasma.github.io/Logging_2560/tillsynsmail/A 44283-2022 tillsynsbegäran mail.docx", "A 44283-2022")</f>
        <v/>
      </c>
    </row>
    <row r="24" ht="15" customHeight="1">
      <c r="A24" t="inlineStr">
        <is>
          <t>A 7068-2023</t>
        </is>
      </c>
      <c r="B24" s="1" t="n">
        <v>44969</v>
      </c>
      <c r="C24" s="1" t="n">
        <v>45349</v>
      </c>
      <c r="D24" t="inlineStr">
        <is>
          <t>NORRBOTTENS LÄN</t>
        </is>
      </c>
      <c r="E24" t="inlineStr">
        <is>
          <t>ÄLVSBYN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HYPERLINK("https://klasma.github.io/Logging_2560/artfynd/A 7068-2023 artfynd.xlsx", "A 7068-2023")</f>
        <v/>
      </c>
      <c r="T24">
        <f>HYPERLINK("https://klasma.github.io/Logging_2560/kartor/A 7068-2023 karta.png", "A 7068-2023")</f>
        <v/>
      </c>
      <c r="V24">
        <f>HYPERLINK("https://klasma.github.io/Logging_2560/klagomål/A 7068-2023 FSC-klagomål.docx", "A 7068-2023")</f>
        <v/>
      </c>
      <c r="W24">
        <f>HYPERLINK("https://klasma.github.io/Logging_2560/klagomålsmail/A 7068-2023 FSC-klagomål mail.docx", "A 7068-2023")</f>
        <v/>
      </c>
      <c r="X24">
        <f>HYPERLINK("https://klasma.github.io/Logging_2560/tillsyn/A 7068-2023 tillsynsbegäran.docx", "A 7068-2023")</f>
        <v/>
      </c>
      <c r="Y24">
        <f>HYPERLINK("https://klasma.github.io/Logging_2560/tillsynsmail/A 7068-2023 tillsynsbegäran mail.docx", "A 7068-2023")</f>
        <v/>
      </c>
    </row>
    <row r="25" ht="15" customHeight="1">
      <c r="A25" t="inlineStr">
        <is>
          <t>A 31829-2023</t>
        </is>
      </c>
      <c r="B25" s="1" t="n">
        <v>45106</v>
      </c>
      <c r="C25" s="1" t="n">
        <v>45349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HYPERLINK("https://klasma.github.io/Logging_2560/artfynd/A 31829-2023 artfynd.xlsx", "A 31829-2023")</f>
        <v/>
      </c>
      <c r="T25">
        <f>HYPERLINK("https://klasma.github.io/Logging_2560/kartor/A 31829-2023 karta.png", "A 31829-2023")</f>
        <v/>
      </c>
      <c r="V25">
        <f>HYPERLINK("https://klasma.github.io/Logging_2560/klagomål/A 31829-2023 FSC-klagomål.docx", "A 31829-2023")</f>
        <v/>
      </c>
      <c r="W25">
        <f>HYPERLINK("https://klasma.github.io/Logging_2560/klagomålsmail/A 31829-2023 FSC-klagomål mail.docx", "A 31829-2023")</f>
        <v/>
      </c>
      <c r="X25">
        <f>HYPERLINK("https://klasma.github.io/Logging_2560/tillsyn/A 31829-2023 tillsynsbegäran.docx", "A 31829-2023")</f>
        <v/>
      </c>
      <c r="Y25">
        <f>HYPERLINK("https://klasma.github.io/Logging_2560/tillsynsmail/A 31829-2023 tillsynsbegäran mail.docx", "A 31829-2023")</f>
        <v/>
      </c>
      <c r="Z25">
        <f>HYPERLINK("https://klasma.github.io/Logging_2560/fåglar/A 31829-2023 prioriterade fågelarter.docx", "A 31829-2023")</f>
        <v/>
      </c>
    </row>
    <row r="26" ht="15" customHeight="1">
      <c r="A26" t="inlineStr">
        <is>
          <t>A 29651-2023</t>
        </is>
      </c>
      <c r="B26" s="1" t="n">
        <v>45107</v>
      </c>
      <c r="C26" s="1" t="n">
        <v>45349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HYPERLINK("https://klasma.github.io/Logging_2560/artfynd/A 29651-2023 artfynd.xlsx", "A 29651-2023")</f>
        <v/>
      </c>
      <c r="T26">
        <f>HYPERLINK("https://klasma.github.io/Logging_2560/kartor/A 29651-2023 karta.png", "A 29651-2023")</f>
        <v/>
      </c>
      <c r="V26">
        <f>HYPERLINK("https://klasma.github.io/Logging_2560/klagomål/A 29651-2023 FSC-klagomål.docx", "A 29651-2023")</f>
        <v/>
      </c>
      <c r="W26">
        <f>HYPERLINK("https://klasma.github.io/Logging_2560/klagomålsmail/A 29651-2023 FSC-klagomål mail.docx", "A 29651-2023")</f>
        <v/>
      </c>
      <c r="X26">
        <f>HYPERLINK("https://klasma.github.io/Logging_2560/tillsyn/A 29651-2023 tillsynsbegäran.docx", "A 29651-2023")</f>
        <v/>
      </c>
      <c r="Y26">
        <f>HYPERLINK("https://klasma.github.io/Logging_2560/tillsynsmail/A 29651-2023 tillsynsbegäran mail.docx", "A 29651-2023")</f>
        <v/>
      </c>
    </row>
    <row r="27" ht="15" customHeight="1">
      <c r="A27" t="inlineStr">
        <is>
          <t>A 29650-2023</t>
        </is>
      </c>
      <c r="B27" s="1" t="n">
        <v>45107</v>
      </c>
      <c r="C27" s="1" t="n">
        <v>45349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HYPERLINK("https://klasma.github.io/Logging_2560/artfynd/A 29650-2023 artfynd.xlsx", "A 29650-2023")</f>
        <v/>
      </c>
      <c r="T27">
        <f>HYPERLINK("https://klasma.github.io/Logging_2560/kartor/A 29650-2023 karta.png", "A 29650-2023")</f>
        <v/>
      </c>
      <c r="V27">
        <f>HYPERLINK("https://klasma.github.io/Logging_2560/klagomål/A 29650-2023 FSC-klagomål.docx", "A 29650-2023")</f>
        <v/>
      </c>
      <c r="W27">
        <f>HYPERLINK("https://klasma.github.io/Logging_2560/klagomålsmail/A 29650-2023 FSC-klagomål mail.docx", "A 29650-2023")</f>
        <v/>
      </c>
      <c r="X27">
        <f>HYPERLINK("https://klasma.github.io/Logging_2560/tillsyn/A 29650-2023 tillsynsbegäran.docx", "A 29650-2023")</f>
        <v/>
      </c>
      <c r="Y27">
        <f>HYPERLINK("https://klasma.github.io/Logging_2560/tillsynsmail/A 29650-2023 tillsynsbegäran mail.docx", "A 29650-2023")</f>
        <v/>
      </c>
    </row>
    <row r="28" ht="15" customHeight="1">
      <c r="A28" t="inlineStr">
        <is>
          <t>A 37717-2023</t>
        </is>
      </c>
      <c r="B28" s="1" t="n">
        <v>45159</v>
      </c>
      <c r="C28" s="1" t="n">
        <v>45349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HYPERLINK("https://klasma.github.io/Logging_2560/artfynd/A 37717-2023 artfynd.xlsx", "A 37717-2023")</f>
        <v/>
      </c>
      <c r="T28">
        <f>HYPERLINK("https://klasma.github.io/Logging_2560/kartor/A 37717-2023 karta.png", "A 37717-2023")</f>
        <v/>
      </c>
      <c r="V28">
        <f>HYPERLINK("https://klasma.github.io/Logging_2560/klagomål/A 37717-2023 FSC-klagomål.docx", "A 37717-2023")</f>
        <v/>
      </c>
      <c r="W28">
        <f>HYPERLINK("https://klasma.github.io/Logging_2560/klagomålsmail/A 37717-2023 FSC-klagomål mail.docx", "A 37717-2023")</f>
        <v/>
      </c>
      <c r="X28">
        <f>HYPERLINK("https://klasma.github.io/Logging_2560/tillsyn/A 37717-2023 tillsynsbegäran.docx", "A 37717-2023")</f>
        <v/>
      </c>
      <c r="Y28">
        <f>HYPERLINK("https://klasma.github.io/Logging_2560/tillsynsmail/A 37717-2023 tillsynsbegäran mail.docx", "A 37717-2023")</f>
        <v/>
      </c>
    </row>
    <row r="29" ht="15" customHeight="1">
      <c r="A29" t="inlineStr">
        <is>
          <t>A 39828-2023</t>
        </is>
      </c>
      <c r="B29" s="1" t="n">
        <v>45168</v>
      </c>
      <c r="C29" s="1" t="n">
        <v>45349</v>
      </c>
      <c r="D29" t="inlineStr">
        <is>
          <t>NORRBOTTENS LÄN</t>
        </is>
      </c>
      <c r="E29" t="inlineStr">
        <is>
          <t>ÄLVSBYN</t>
        </is>
      </c>
      <c r="G29" t="n">
        <v>14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HYPERLINK("https://klasma.github.io/Logging_2560/artfynd/A 39828-2023 artfynd.xlsx", "A 39828-2023")</f>
        <v/>
      </c>
      <c r="T29">
        <f>HYPERLINK("https://klasma.github.io/Logging_2560/kartor/A 39828-2023 karta.png", "A 39828-2023")</f>
        <v/>
      </c>
      <c r="V29">
        <f>HYPERLINK("https://klasma.github.io/Logging_2560/klagomål/A 39828-2023 FSC-klagomål.docx", "A 39828-2023")</f>
        <v/>
      </c>
      <c r="W29">
        <f>HYPERLINK("https://klasma.github.io/Logging_2560/klagomålsmail/A 39828-2023 FSC-klagomål mail.docx", "A 39828-2023")</f>
        <v/>
      </c>
      <c r="X29">
        <f>HYPERLINK("https://klasma.github.io/Logging_2560/tillsyn/A 39828-2023 tillsynsbegäran.docx", "A 39828-2023")</f>
        <v/>
      </c>
      <c r="Y29">
        <f>HYPERLINK("https://klasma.github.io/Logging_2560/tillsynsmail/A 39828-2023 tillsynsbegäran mail.docx", "A 39828-2023")</f>
        <v/>
      </c>
    </row>
    <row r="30" ht="15" customHeight="1">
      <c r="A30" t="inlineStr">
        <is>
          <t>A 40463-2023</t>
        </is>
      </c>
      <c r="B30" s="1" t="n">
        <v>45170</v>
      </c>
      <c r="C30" s="1" t="n">
        <v>45349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40463-2023 artfynd.xlsx", "A 40463-2023")</f>
        <v/>
      </c>
      <c r="T30">
        <f>HYPERLINK("https://klasma.github.io/Logging_2560/kartor/A 40463-2023 karta.png", "A 40463-2023")</f>
        <v/>
      </c>
      <c r="V30">
        <f>HYPERLINK("https://klasma.github.io/Logging_2560/klagomål/A 40463-2023 FSC-klagomål.docx", "A 40463-2023")</f>
        <v/>
      </c>
      <c r="W30">
        <f>HYPERLINK("https://klasma.github.io/Logging_2560/klagomålsmail/A 40463-2023 FSC-klagomål mail.docx", "A 40463-2023")</f>
        <v/>
      </c>
      <c r="X30">
        <f>HYPERLINK("https://klasma.github.io/Logging_2560/tillsyn/A 40463-2023 tillsynsbegäran.docx", "A 40463-2023")</f>
        <v/>
      </c>
      <c r="Y30">
        <f>HYPERLINK("https://klasma.github.io/Logging_2560/tillsynsmail/A 40463-2023 tillsynsbegäran mail.docx", "A 40463-2023")</f>
        <v/>
      </c>
    </row>
    <row r="31" ht="15" customHeight="1">
      <c r="A31" t="inlineStr">
        <is>
          <t>A 41118-2018</t>
        </is>
      </c>
      <c r="B31" s="1" t="n">
        <v>43348</v>
      </c>
      <c r="C31" s="1" t="n">
        <v>45349</v>
      </c>
      <c r="D31" t="inlineStr">
        <is>
          <t>NORRBOTTENS LÄN</t>
        </is>
      </c>
      <c r="E31" t="inlineStr">
        <is>
          <t>ÄLVSBYN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48355-2018</t>
        </is>
      </c>
      <c r="B32" s="1" t="n">
        <v>43373</v>
      </c>
      <c r="C32" s="1" t="n">
        <v>45349</v>
      </c>
      <c r="D32" t="inlineStr">
        <is>
          <t>NORRBOTTENS LÄN</t>
        </is>
      </c>
      <c r="E32" t="inlineStr">
        <is>
          <t>ÄLVSBYN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56191-2018</t>
        </is>
      </c>
      <c r="B33" s="1" t="n">
        <v>43394</v>
      </c>
      <c r="C33" s="1" t="n">
        <v>45349</v>
      </c>
      <c r="D33" t="inlineStr">
        <is>
          <t>NORRBOTTENS LÄN</t>
        </is>
      </c>
      <c r="E33" t="inlineStr">
        <is>
          <t>ÄLVSBYN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55596-2018</t>
        </is>
      </c>
      <c r="B34" s="1" t="n">
        <v>43397</v>
      </c>
      <c r="C34" s="1" t="n">
        <v>45349</v>
      </c>
      <c r="D34" t="inlineStr">
        <is>
          <t>NORRBOTTENS LÄN</t>
        </is>
      </c>
      <c r="E34" t="inlineStr">
        <is>
          <t>ÄLVSBYN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58475-2018</t>
        </is>
      </c>
      <c r="B35" s="1" t="n">
        <v>43398</v>
      </c>
      <c r="C35" s="1" t="n">
        <v>45349</v>
      </c>
      <c r="D35" t="inlineStr">
        <is>
          <t>NORRBOTTENS LÄN</t>
        </is>
      </c>
      <c r="E35" t="inlineStr">
        <is>
          <t>ÄLVSBYN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59272-2018</t>
        </is>
      </c>
      <c r="B36" s="1" t="n">
        <v>43403</v>
      </c>
      <c r="C36" s="1" t="n">
        <v>45349</v>
      </c>
      <c r="D36" t="inlineStr">
        <is>
          <t>NORRBOTTENS LÄN</t>
        </is>
      </c>
      <c r="E36" t="inlineStr">
        <is>
          <t>ÄLVSBYN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60603-2018</t>
        </is>
      </c>
      <c r="B37" s="1" t="n">
        <v>43406</v>
      </c>
      <c r="C37" s="1" t="n">
        <v>45349</v>
      </c>
      <c r="D37" t="inlineStr">
        <is>
          <t>NORRBOTTENS LÄN</t>
        </is>
      </c>
      <c r="E37" t="inlineStr">
        <is>
          <t>ÄLVSBYN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60812-2018</t>
        </is>
      </c>
      <c r="B38" s="1" t="n">
        <v>43410</v>
      </c>
      <c r="C38" s="1" t="n">
        <v>45349</v>
      </c>
      <c r="D38" t="inlineStr">
        <is>
          <t>NORRBOTTENS LÄN</t>
        </is>
      </c>
      <c r="E38" t="inlineStr">
        <is>
          <t>ÄLVSBYN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62633-2018</t>
        </is>
      </c>
      <c r="B39" s="1" t="n">
        <v>43413</v>
      </c>
      <c r="C39" s="1" t="n">
        <v>45349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61512-2018</t>
        </is>
      </c>
      <c r="B40" s="1" t="n">
        <v>43413</v>
      </c>
      <c r="C40" s="1" t="n">
        <v>45349</v>
      </c>
      <c r="D40" t="inlineStr">
        <is>
          <t>NORRBOTTENS LÄN</t>
        </is>
      </c>
      <c r="E40" t="inlineStr">
        <is>
          <t>ÄLVSBYN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63357-2018</t>
        </is>
      </c>
      <c r="B41" s="1" t="n">
        <v>43416</v>
      </c>
      <c r="C41" s="1" t="n">
        <v>45349</v>
      </c>
      <c r="D41" t="inlineStr">
        <is>
          <t>NORRBOTTENS LÄN</t>
        </is>
      </c>
      <c r="E41" t="inlineStr">
        <is>
          <t>ÄLVSBYN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63332-2018</t>
        </is>
      </c>
      <c r="B42" s="1" t="n">
        <v>43416</v>
      </c>
      <c r="C42" s="1" t="n">
        <v>45349</v>
      </c>
      <c r="D42" t="inlineStr">
        <is>
          <t>NORRBOTTENS LÄN</t>
        </is>
      </c>
      <c r="E42" t="inlineStr">
        <is>
          <t>ÄLVSBYN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60622-2018</t>
        </is>
      </c>
      <c r="B43" s="1" t="n">
        <v>43420</v>
      </c>
      <c r="C43" s="1" t="n">
        <v>45349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65058-2018</t>
        </is>
      </c>
      <c r="B44" s="1" t="n">
        <v>43423</v>
      </c>
      <c r="C44" s="1" t="n">
        <v>45349</v>
      </c>
      <c r="D44" t="inlineStr">
        <is>
          <t>NORRBOTTENS LÄN</t>
        </is>
      </c>
      <c r="E44" t="inlineStr">
        <is>
          <t>ÄLVSBYN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62184-2018</t>
        </is>
      </c>
      <c r="B45" s="1" t="n">
        <v>43425</v>
      </c>
      <c r="C45" s="1" t="n">
        <v>45349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65981-2018</t>
        </is>
      </c>
      <c r="B46" s="1" t="n">
        <v>43426</v>
      </c>
      <c r="C46" s="1" t="n">
        <v>45349</v>
      </c>
      <c r="D46" t="inlineStr">
        <is>
          <t>NORRBOTTENS LÄN</t>
        </is>
      </c>
      <c r="E46" t="inlineStr">
        <is>
          <t>ÄLVSBYN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63623-2018</t>
        </is>
      </c>
      <c r="B47" s="1" t="n">
        <v>43427</v>
      </c>
      <c r="C47" s="1" t="n">
        <v>45349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63620-2018</t>
        </is>
      </c>
      <c r="B48" s="1" t="n">
        <v>43427</v>
      </c>
      <c r="C48" s="1" t="n">
        <v>45349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63621-2018</t>
        </is>
      </c>
      <c r="B49" s="1" t="n">
        <v>43427</v>
      </c>
      <c r="C49" s="1" t="n">
        <v>45349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63644-2018</t>
        </is>
      </c>
      <c r="B50" s="1" t="n">
        <v>43427</v>
      </c>
      <c r="C50" s="1" t="n">
        <v>45349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63624-2018</t>
        </is>
      </c>
      <c r="B51" s="1" t="n">
        <v>43427</v>
      </c>
      <c r="C51" s="1" t="n">
        <v>45349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64445-2018</t>
        </is>
      </c>
      <c r="B52" s="1" t="n">
        <v>43431</v>
      </c>
      <c r="C52" s="1" t="n">
        <v>45349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66532-2018</t>
        </is>
      </c>
      <c r="B53" s="1" t="n">
        <v>43437</v>
      </c>
      <c r="C53" s="1" t="n">
        <v>45349</v>
      </c>
      <c r="D53" t="inlineStr">
        <is>
          <t>NORRBOTTENS LÄN</t>
        </is>
      </c>
      <c r="E53" t="inlineStr">
        <is>
          <t>ÄLVSBYN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54-2019</t>
        </is>
      </c>
      <c r="B54" s="1" t="n">
        <v>43467</v>
      </c>
      <c r="C54" s="1" t="n">
        <v>45349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2033-2019</t>
        </is>
      </c>
      <c r="B55" s="1" t="n">
        <v>43467</v>
      </c>
      <c r="C55" s="1" t="n">
        <v>45349</v>
      </c>
      <c r="D55" t="inlineStr">
        <is>
          <t>NORRBOTTENS LÄN</t>
        </is>
      </c>
      <c r="E55" t="inlineStr">
        <is>
          <t>ÄLVSBYN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5972-2019</t>
        </is>
      </c>
      <c r="B56" s="1" t="n">
        <v>43483</v>
      </c>
      <c r="C56" s="1" t="n">
        <v>45349</v>
      </c>
      <c r="D56" t="inlineStr">
        <is>
          <t>NORRBOTTENS LÄN</t>
        </is>
      </c>
      <c r="E56" t="inlineStr">
        <is>
          <t>ÄLVSBYN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5986-2019</t>
        </is>
      </c>
      <c r="B57" s="1" t="n">
        <v>43493</v>
      </c>
      <c r="C57" s="1" t="n">
        <v>45349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7061-2019</t>
        </is>
      </c>
      <c r="B58" s="1" t="n">
        <v>43495</v>
      </c>
      <c r="C58" s="1" t="n">
        <v>45349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7063-2019</t>
        </is>
      </c>
      <c r="B59" s="1" t="n">
        <v>43495</v>
      </c>
      <c r="C59" s="1" t="n">
        <v>45349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7357-2019</t>
        </is>
      </c>
      <c r="B60" s="1" t="n">
        <v>43496</v>
      </c>
      <c r="C60" s="1" t="n">
        <v>45349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8264-2019</t>
        </is>
      </c>
      <c r="B61" s="1" t="n">
        <v>43501</v>
      </c>
      <c r="C61" s="1" t="n">
        <v>45349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16188-2019</t>
        </is>
      </c>
      <c r="B62" s="1" t="n">
        <v>43545</v>
      </c>
      <c r="C62" s="1" t="n">
        <v>45349</v>
      </c>
      <c r="D62" t="inlineStr">
        <is>
          <t>NORRBOTTENS LÄN</t>
        </is>
      </c>
      <c r="E62" t="inlineStr">
        <is>
          <t>ÄLVSBYN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23610-2019</t>
        </is>
      </c>
      <c r="B63" s="1" t="n">
        <v>43594</v>
      </c>
      <c r="C63" s="1" t="n">
        <v>45349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45349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45349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45349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45349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45349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45349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45349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45349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45349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45349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45349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45349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45349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45349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45349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45349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45349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45349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45349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45349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45349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45349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45349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45349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45349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45349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45349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45349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45349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45349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45349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45349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45349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45349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45349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45349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45349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45349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45349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45349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45349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45349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45349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45349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45349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45349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45349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45349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45349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45349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45349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45349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45349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45349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45349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45349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45349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45349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45349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45349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45349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45349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45349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45349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45349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45349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45349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45349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45349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45349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45349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45349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45349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45349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45349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45349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45349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45349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45349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45349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45349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45349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45349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45349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45349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45349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45349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45349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45349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45349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45349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45349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45349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45349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45349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45349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45349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52177-2021</t>
        </is>
      </c>
      <c r="B161" s="1" t="n">
        <v>44463</v>
      </c>
      <c r="C161" s="1" t="n">
        <v>45349</v>
      </c>
      <c r="D161" t="inlineStr">
        <is>
          <t>NORRBOTTENS LÄN</t>
        </is>
      </c>
      <c r="E161" t="inlineStr">
        <is>
          <t>ÄLVSBYN</t>
        </is>
      </c>
      <c r="G161" t="n">
        <v>36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45349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45349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45349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45349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45349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45349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45349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45349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45349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45349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45349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45349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61009-2021</t>
        </is>
      </c>
      <c r="B174" s="1" t="n">
        <v>44497</v>
      </c>
      <c r="C174" s="1" t="n">
        <v>45349</v>
      </c>
      <c r="D174" t="inlineStr">
        <is>
          <t>NORRBOTTENS LÄN</t>
        </is>
      </c>
      <c r="E174" t="inlineStr">
        <is>
          <t>ÄLVSBYN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45349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45349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45349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45349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45349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45349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45349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45349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45349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45349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45349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45349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45349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45349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45349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45349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45349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45349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45349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45349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45349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45349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45349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45349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45349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45349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45349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45349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45349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45349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45349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45349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45349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45349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45349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45349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45349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45349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45349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45349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45349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45349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45349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45349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45349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45349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45349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45349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45349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45349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45349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45349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45349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45349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45349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45349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45349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45349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45349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45349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45349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45349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45349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45349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45349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45349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45349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45349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45349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45349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45349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45349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45349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45349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45349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45349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45349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45349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45349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45349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45349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45349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45349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45349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45349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45349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45349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45349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45349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45349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45349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45349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45349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45349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45349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45349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45349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45349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45349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45349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45349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45349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45349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45349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45349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45349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45349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45349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45349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45349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45349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45349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45349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45349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45349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45349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45349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45349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45349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45349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45349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45349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45349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45349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45349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45349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45349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45349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45349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45349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45349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45349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45349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45349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45349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45349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45349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45349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45349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45349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45349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45349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45349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45349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45349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45349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45349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45349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45349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45349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45349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45349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45349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45349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45349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45349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45349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45349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45349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45349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45349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45349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45349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45349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45349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45349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45349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45349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45349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45349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45349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45349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45349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45349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45349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45349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45349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45349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45349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45349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45349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45349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45349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45349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45349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45349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45349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45349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45349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45349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45349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45349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45349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45349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45349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45349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45349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45349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45349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45349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45349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45349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45349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45349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45349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45349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45349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45349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45349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45349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45349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45349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45349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45349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45349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45349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45349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45349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45349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45349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45349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45349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45349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45349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45349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45349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45349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45349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45349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45349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45349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45349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45349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45349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45349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45349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45349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45349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45349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45349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45349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45349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45349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45349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45349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45349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45349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45349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45349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45349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45349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45349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45349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45349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45349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45349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45349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45349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45349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45349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45349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45349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45349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45349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45349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45349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45349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45349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45349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45349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45349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45349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45349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45349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45349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45349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45349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45349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45349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45349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45349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45349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45349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45349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45349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45349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45349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45349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45349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45349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64472-2023</t>
        </is>
      </c>
      <c r="B465" s="1" t="n">
        <v>45280</v>
      </c>
      <c r="C465" s="1" t="n">
        <v>45349</v>
      </c>
      <c r="D465" t="inlineStr">
        <is>
          <t>NORRBOTTENS LÄN</t>
        </is>
      </c>
      <c r="E465" t="inlineStr">
        <is>
          <t>ÄLVSBYN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45349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45349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45349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45349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45349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45349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45349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45349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45349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45349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45349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45349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45349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45349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45349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45349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45349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45349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5628-2024</t>
        </is>
      </c>
      <c r="B484" s="1" t="n">
        <v>45334</v>
      </c>
      <c r="C484" s="1" t="n">
        <v>45349</v>
      </c>
      <c r="D484" t="inlineStr">
        <is>
          <t>NORRBOTTENS LÄN</t>
        </is>
      </c>
      <c r="E484" t="inlineStr">
        <is>
          <t>ÄLVSBYN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5646-2024</t>
        </is>
      </c>
      <c r="B485" s="1" t="n">
        <v>45334</v>
      </c>
      <c r="C485" s="1" t="n">
        <v>45349</v>
      </c>
      <c r="D485" t="inlineStr">
        <is>
          <t>NORRBOTTENS LÄN</t>
        </is>
      </c>
      <c r="E485" t="inlineStr">
        <is>
          <t>ÄLVSBYN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5650-2024</t>
        </is>
      </c>
      <c r="B486" s="1" t="n">
        <v>45334</v>
      </c>
      <c r="C486" s="1" t="n">
        <v>45349</v>
      </c>
      <c r="D486" t="inlineStr">
        <is>
          <t>NORRBOTTENS LÄN</t>
        </is>
      </c>
      <c r="E486" t="inlineStr">
        <is>
          <t>ÄLVSBYN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5733-2024</t>
        </is>
      </c>
      <c r="B487" s="1" t="n">
        <v>45334</v>
      </c>
      <c r="C487" s="1" t="n">
        <v>45349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5732-2024</t>
        </is>
      </c>
      <c r="B488" s="1" t="n">
        <v>45334</v>
      </c>
      <c r="C488" s="1" t="n">
        <v>45349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45349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45349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45349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45349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45349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45349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45349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45349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7479-2024</t>
        </is>
      </c>
      <c r="B497" s="1" t="n">
        <v>45345</v>
      </c>
      <c r="C497" s="1" t="n">
        <v>45349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2024-02-27T13:12:11Z</dcterms:created>
  <dcterms:modified xmlns:dcterms="http://purl.org/dc/terms/" xmlns:xsi="http://www.w3.org/2001/XMLSchema-instance" xsi:type="dcterms:W3CDTF">2024-02-27T13:12:11Z</dcterms:modified>
</cp:coreProperties>
</file>