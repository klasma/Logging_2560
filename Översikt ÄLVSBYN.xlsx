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45626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45626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45626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45626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45626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45626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45626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45626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45626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45626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45626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45626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45626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45626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45626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45626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45626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45626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45626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3752-2023</t>
        </is>
      </c>
      <c r="B21" s="1" t="n">
        <v>44949</v>
      </c>
      <c r="C21" s="1" t="n">
        <v>45626</v>
      </c>
      <c r="D21" t="inlineStr">
        <is>
          <t>NORRBOTTENS LÄN</t>
        </is>
      </c>
      <c r="E21" t="inlineStr">
        <is>
          <t>ÄLVSBYN</t>
        </is>
      </c>
      <c r="G21" t="n">
        <v>3.7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Tretåig hackspett
Ullticka</t>
        </is>
      </c>
      <c r="S21">
        <f>HYPERLINK("https://klasma.github.io/Logging_2560/artfynd/A 3752-2023 artfynd.xlsx", "A 3752-2023")</f>
        <v/>
      </c>
      <c r="T21">
        <f>HYPERLINK("https://klasma.github.io/Logging_2560/kartor/A 3752-2023 karta.png", "A 3752-2023")</f>
        <v/>
      </c>
      <c r="V21">
        <f>HYPERLINK("https://klasma.github.io/Logging_2560/klagomål/A 3752-2023 FSC-klagomål.docx", "A 3752-2023")</f>
        <v/>
      </c>
      <c r="W21">
        <f>HYPERLINK("https://klasma.github.io/Logging_2560/klagomålsmail/A 3752-2023 FSC-klagomål mail.docx", "A 3752-2023")</f>
        <v/>
      </c>
      <c r="X21">
        <f>HYPERLINK("https://klasma.github.io/Logging_2560/tillsyn/A 3752-2023 tillsynsbegäran.docx", "A 3752-2023")</f>
        <v/>
      </c>
      <c r="Y21">
        <f>HYPERLINK("https://klasma.github.io/Logging_2560/tillsynsmail/A 3752-2023 tillsynsbegäran mail.docx", "A 3752-2023")</f>
        <v/>
      </c>
      <c r="Z21">
        <f>HYPERLINK("https://klasma.github.io/Logging_2560/fåglar/A 3752-2023 prioriterade fågelarter.docx", "A 3752-2023")</f>
        <v/>
      </c>
    </row>
    <row r="22" ht="15" customHeight="1">
      <c r="A22" t="inlineStr">
        <is>
          <t>A 28088-2023</t>
        </is>
      </c>
      <c r="B22" s="1" t="n">
        <v>45099</v>
      </c>
      <c r="C22" s="1" t="n">
        <v>45626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5.6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Fläckporing
Kolflarnlav
Lunglav</t>
        </is>
      </c>
      <c r="S22">
        <f>HYPERLINK("https://klasma.github.io/Logging_2560/artfynd/A 28088-2023 artfynd.xlsx", "A 28088-2023")</f>
        <v/>
      </c>
      <c r="T22">
        <f>HYPERLINK("https://klasma.github.io/Logging_2560/kartor/A 28088-2023 karta.png", "A 28088-2023")</f>
        <v/>
      </c>
      <c r="V22">
        <f>HYPERLINK("https://klasma.github.io/Logging_2560/klagomål/A 28088-2023 FSC-klagomål.docx", "A 28088-2023")</f>
        <v/>
      </c>
      <c r="W22">
        <f>HYPERLINK("https://klasma.github.io/Logging_2560/klagomålsmail/A 28088-2023 FSC-klagomål mail.docx", "A 28088-2023")</f>
        <v/>
      </c>
      <c r="X22">
        <f>HYPERLINK("https://klasma.github.io/Logging_2560/tillsyn/A 28088-2023 tillsynsbegäran.docx", "A 28088-2023")</f>
        <v/>
      </c>
      <c r="Y22">
        <f>HYPERLINK("https://klasma.github.io/Logging_2560/tillsynsmail/A 28088-2023 tillsynsbegäran mail.docx", "A 28088-2023")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45626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45626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44255-2024</t>
        </is>
      </c>
      <c r="B25" s="1" t="n">
        <v>45573</v>
      </c>
      <c r="C25" s="1" t="n">
        <v>45626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Rosenticka</t>
        </is>
      </c>
      <c r="S25">
        <f>HYPERLINK("https://klasma.github.io/Logging_2560/artfynd/A 44255-2024 artfynd.xlsx", "A 44255-2024")</f>
        <v/>
      </c>
      <c r="T25">
        <f>HYPERLINK("https://klasma.github.io/Logging_2560/kartor/A 44255-2024 karta.png", "A 44255-2024")</f>
        <v/>
      </c>
      <c r="V25">
        <f>HYPERLINK("https://klasma.github.io/Logging_2560/klagomål/A 44255-2024 FSC-klagomål.docx", "A 44255-2024")</f>
        <v/>
      </c>
      <c r="W25">
        <f>HYPERLINK("https://klasma.github.io/Logging_2560/klagomålsmail/A 44255-2024 FSC-klagomål mail.docx", "A 44255-2024")</f>
        <v/>
      </c>
      <c r="X25">
        <f>HYPERLINK("https://klasma.github.io/Logging_2560/tillsyn/A 44255-2024 tillsynsbegäran.docx", "A 44255-2024")</f>
        <v/>
      </c>
      <c r="Y25">
        <f>HYPERLINK("https://klasma.github.io/Logging_2560/tillsynsmail/A 44255-2024 tillsynsbegäran mail.docx", "A 44255-2024")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45626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45626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50156-2024</t>
        </is>
      </c>
      <c r="B28" s="1" t="n">
        <v>45600</v>
      </c>
      <c r="C28" s="1" t="n">
        <v>45626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9.9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Kolflarnlav
Vaddporing
Dropptaggsvamp</t>
        </is>
      </c>
      <c r="S28">
        <f>HYPERLINK("https://klasma.github.io/Logging_2560/artfynd/A 50156-2024 artfynd.xlsx", "A 50156-2024")</f>
        <v/>
      </c>
      <c r="T28">
        <f>HYPERLINK("https://klasma.github.io/Logging_2560/kartor/A 50156-2024 karta.png", "A 50156-2024")</f>
        <v/>
      </c>
      <c r="V28">
        <f>HYPERLINK("https://klasma.github.io/Logging_2560/klagomål/A 50156-2024 FSC-klagomål.docx", "A 50156-2024")</f>
        <v/>
      </c>
      <c r="W28">
        <f>HYPERLINK("https://klasma.github.io/Logging_2560/klagomålsmail/A 50156-2024 FSC-klagomål mail.docx", "A 50156-2024")</f>
        <v/>
      </c>
      <c r="X28">
        <f>HYPERLINK("https://klasma.github.io/Logging_2560/tillsyn/A 50156-2024 tillsynsbegäran.docx", "A 50156-2024")</f>
        <v/>
      </c>
      <c r="Y28">
        <f>HYPERLINK("https://klasma.github.io/Logging_2560/tillsynsmail/A 50156-2024 tillsynsbegäran mail.docx", "A 50156-2024")</f>
        <v/>
      </c>
    </row>
    <row r="29" ht="15" customHeight="1">
      <c r="A29" t="inlineStr">
        <is>
          <t>A 55503-2024</t>
        </is>
      </c>
      <c r="B29" s="1" t="n">
        <v>45622</v>
      </c>
      <c r="C29" s="1" t="n">
        <v>45626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Stuplav</t>
        </is>
      </c>
      <c r="S29">
        <f>HYPERLINK("https://klasma.github.io/Logging_2560/artfynd/A 55503-2024 artfynd.xlsx", "A 55503-2024")</f>
        <v/>
      </c>
      <c r="T29">
        <f>HYPERLINK("https://klasma.github.io/Logging_2560/kartor/A 55503-2024 karta.png", "A 55503-2024")</f>
        <v/>
      </c>
      <c r="V29">
        <f>HYPERLINK("https://klasma.github.io/Logging_2560/klagomål/A 55503-2024 FSC-klagomål.docx", "A 55503-2024")</f>
        <v/>
      </c>
      <c r="W29">
        <f>HYPERLINK("https://klasma.github.io/Logging_2560/klagomålsmail/A 55503-2024 FSC-klagomål mail.docx", "A 55503-2024")</f>
        <v/>
      </c>
      <c r="X29">
        <f>HYPERLINK("https://klasma.github.io/Logging_2560/tillsyn/A 55503-2024 tillsynsbegäran.docx", "A 55503-2024")</f>
        <v/>
      </c>
      <c r="Y29">
        <f>HYPERLINK("https://klasma.github.io/Logging_2560/tillsynsmail/A 55503-2024 tillsynsbegäran mail.docx", "A 55503-2024")</f>
        <v/>
      </c>
    </row>
    <row r="30" ht="15" customHeight="1">
      <c r="A30" t="inlineStr">
        <is>
          <t>A 8612-2020</t>
        </is>
      </c>
      <c r="B30" s="1" t="n">
        <v>43875</v>
      </c>
      <c r="C30" s="1" t="n">
        <v>45626</v>
      </c>
      <c r="D30" t="inlineStr">
        <is>
          <t>NORRBOTTENS LÄN</t>
        </is>
      </c>
      <c r="E30" t="inlineStr">
        <is>
          <t>ÄLVSBYN</t>
        </is>
      </c>
      <c r="G30" t="n">
        <v>1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Rotfingersvamp
Smalfotad taggsvamp</t>
        </is>
      </c>
      <c r="S30">
        <f>HYPERLINK("https://klasma.github.io/Logging_2560/artfynd/A 8612-2020 artfynd.xlsx", "A 8612-2020")</f>
        <v/>
      </c>
      <c r="T30">
        <f>HYPERLINK("https://klasma.github.io/Logging_2560/kartor/A 8612-2020 karta.png", "A 8612-2020")</f>
        <v/>
      </c>
      <c r="V30">
        <f>HYPERLINK("https://klasma.github.io/Logging_2560/klagomål/A 8612-2020 FSC-klagomål.docx", "A 8612-2020")</f>
        <v/>
      </c>
      <c r="W30">
        <f>HYPERLINK("https://klasma.github.io/Logging_2560/klagomålsmail/A 8612-2020 FSC-klagomål mail.docx", "A 8612-2020")</f>
        <v/>
      </c>
      <c r="X30">
        <f>HYPERLINK("https://klasma.github.io/Logging_2560/tillsyn/A 8612-2020 tillsynsbegäran.docx", "A 8612-2020")</f>
        <v/>
      </c>
      <c r="Y30">
        <f>HYPERLINK("https://klasma.github.io/Logging_2560/tillsynsmail/A 8612-2020 tillsynsbegäran mail.docx", "A 8612-2020")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45626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45626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29877-2023</t>
        </is>
      </c>
      <c r="B33" s="1" t="n">
        <v>45107</v>
      </c>
      <c r="C33" s="1" t="n">
        <v>45626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29877-2023 artfynd.xlsx", "A 29877-2023")</f>
        <v/>
      </c>
      <c r="T33">
        <f>HYPERLINK("https://klasma.github.io/Logging_2560/kartor/A 29877-2023 karta.png", "A 29877-2023")</f>
        <v/>
      </c>
      <c r="V33">
        <f>HYPERLINK("https://klasma.github.io/Logging_2560/klagomål/A 29877-2023 FSC-klagomål.docx", "A 29877-2023")</f>
        <v/>
      </c>
      <c r="W33">
        <f>HYPERLINK("https://klasma.github.io/Logging_2560/klagomålsmail/A 29877-2023 FSC-klagomål mail.docx", "A 29877-2023")</f>
        <v/>
      </c>
      <c r="X33">
        <f>HYPERLINK("https://klasma.github.io/Logging_2560/tillsyn/A 29877-2023 tillsynsbegäran.docx", "A 29877-2023")</f>
        <v/>
      </c>
      <c r="Y33">
        <f>HYPERLINK("https://klasma.github.io/Logging_2560/tillsynsmail/A 29877-2023 tillsynsbegäran mail.docx", "A 29877-2023")</f>
        <v/>
      </c>
    </row>
    <row r="34" ht="15" customHeight="1">
      <c r="A34" t="inlineStr">
        <is>
          <t>A 47131-2023</t>
        </is>
      </c>
      <c r="B34" s="1" t="n">
        <v>45201</v>
      </c>
      <c r="C34" s="1" t="n">
        <v>45626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Tallriska</t>
        </is>
      </c>
      <c r="S34">
        <f>HYPERLINK("https://klasma.github.io/Logging_2560/artfynd/A 47131-2023 artfynd.xlsx", "A 47131-2023")</f>
        <v/>
      </c>
      <c r="T34">
        <f>HYPERLINK("https://klasma.github.io/Logging_2560/kartor/A 47131-2023 karta.png", "A 47131-2023")</f>
        <v/>
      </c>
      <c r="V34">
        <f>HYPERLINK("https://klasma.github.io/Logging_2560/klagomål/A 47131-2023 FSC-klagomål.docx", "A 47131-2023")</f>
        <v/>
      </c>
      <c r="W34">
        <f>HYPERLINK("https://klasma.github.io/Logging_2560/klagomålsmail/A 47131-2023 FSC-klagomål mail.docx", "A 47131-2023")</f>
        <v/>
      </c>
      <c r="X34">
        <f>HYPERLINK("https://klasma.github.io/Logging_2560/tillsyn/A 47131-2023 tillsynsbegäran.docx", "A 47131-2023")</f>
        <v/>
      </c>
      <c r="Y34">
        <f>HYPERLINK("https://klasma.github.io/Logging_2560/tillsynsmail/A 47131-2023 tillsynsbegäran mail.docx", "A 47131-2023")</f>
        <v/>
      </c>
    </row>
    <row r="35" ht="15" customHeight="1">
      <c r="A35" t="inlineStr">
        <is>
          <t>A 569-2024</t>
        </is>
      </c>
      <c r="B35" s="1" t="n">
        <v>45299</v>
      </c>
      <c r="C35" s="1" t="n">
        <v>45626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Skarp dropptaggsvamp</t>
        </is>
      </c>
      <c r="S35">
        <f>HYPERLINK("https://klasma.github.io/Logging_2560/artfynd/A 569-2024 artfynd.xlsx", "A 569-2024")</f>
        <v/>
      </c>
      <c r="T35">
        <f>HYPERLINK("https://klasma.github.io/Logging_2560/kartor/A 569-2024 karta.png", "A 569-2024")</f>
        <v/>
      </c>
      <c r="V35">
        <f>HYPERLINK("https://klasma.github.io/Logging_2560/klagomål/A 569-2024 FSC-klagomål.docx", "A 569-2024")</f>
        <v/>
      </c>
      <c r="W35">
        <f>HYPERLINK("https://klasma.github.io/Logging_2560/klagomålsmail/A 569-2024 FSC-klagomål mail.docx", "A 569-2024")</f>
        <v/>
      </c>
      <c r="X35">
        <f>HYPERLINK("https://klasma.github.io/Logging_2560/tillsyn/A 569-2024 tillsynsbegäran.docx", "A 569-2024")</f>
        <v/>
      </c>
      <c r="Y35">
        <f>HYPERLINK("https://klasma.github.io/Logging_2560/tillsynsmail/A 569-2024 tillsynsbegäran mail.docx", "A 569-2024")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45626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45626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45626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45626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45626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45314-2024</t>
        </is>
      </c>
      <c r="B41" s="1" t="n">
        <v>45576</v>
      </c>
      <c r="C41" s="1" t="n">
        <v>45626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Dropptaggsvamp</t>
        </is>
      </c>
      <c r="S41">
        <f>HYPERLINK("https://klasma.github.io/Logging_2560/artfynd/A 45314-2024 artfynd.xlsx", "A 45314-2024")</f>
        <v/>
      </c>
      <c r="T41">
        <f>HYPERLINK("https://klasma.github.io/Logging_2560/kartor/A 45314-2024 karta.png", "A 45314-2024")</f>
        <v/>
      </c>
      <c r="V41">
        <f>HYPERLINK("https://klasma.github.io/Logging_2560/klagomål/A 45314-2024 FSC-klagomål.docx", "A 45314-2024")</f>
        <v/>
      </c>
      <c r="W41">
        <f>HYPERLINK("https://klasma.github.io/Logging_2560/klagomålsmail/A 45314-2024 FSC-klagomål mail.docx", "A 45314-2024")</f>
        <v/>
      </c>
      <c r="X41">
        <f>HYPERLINK("https://klasma.github.io/Logging_2560/tillsyn/A 45314-2024 tillsynsbegäran.docx", "A 45314-2024")</f>
        <v/>
      </c>
      <c r="Y41">
        <f>HYPERLINK("https://klasma.github.io/Logging_2560/tillsynsmail/A 45314-2024 tillsynsbegäran mail.docx", "A 45314-2024")</f>
        <v/>
      </c>
    </row>
    <row r="42" ht="15" customHeight="1">
      <c r="A42" t="inlineStr">
        <is>
          <t>A 45317-2024</t>
        </is>
      </c>
      <c r="B42" s="1" t="n">
        <v>45576</v>
      </c>
      <c r="C42" s="1" t="n">
        <v>45626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Skarp dropptaggsvamp</t>
        </is>
      </c>
      <c r="S42">
        <f>HYPERLINK("https://klasma.github.io/Logging_2560/artfynd/A 45317-2024 artfynd.xlsx", "A 45317-2024")</f>
        <v/>
      </c>
      <c r="T42">
        <f>HYPERLINK("https://klasma.github.io/Logging_2560/kartor/A 45317-2024 karta.png", "A 45317-2024")</f>
        <v/>
      </c>
      <c r="V42">
        <f>HYPERLINK("https://klasma.github.io/Logging_2560/klagomål/A 45317-2024 FSC-klagomål.docx", "A 45317-2024")</f>
        <v/>
      </c>
      <c r="W42">
        <f>HYPERLINK("https://klasma.github.io/Logging_2560/klagomålsmail/A 45317-2024 FSC-klagomål mail.docx", "A 45317-2024")</f>
        <v/>
      </c>
      <c r="X42">
        <f>HYPERLINK("https://klasma.github.io/Logging_2560/tillsyn/A 45317-2024 tillsynsbegäran.docx", "A 45317-2024")</f>
        <v/>
      </c>
      <c r="Y42">
        <f>HYPERLINK("https://klasma.github.io/Logging_2560/tillsynsmail/A 45317-2024 tillsynsbegäran mail.docx", "A 45317-2024")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45626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51078-2019</t>
        </is>
      </c>
      <c r="B44" s="1" t="n">
        <v>43739</v>
      </c>
      <c r="C44" s="1" t="n">
        <v>45626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HYPERLINK("https://klasma.github.io/Logging_2560/artfynd/A 51078-2019 artfynd.xlsx", "A 51078-2019")</f>
        <v/>
      </c>
      <c r="T44">
        <f>HYPERLINK("https://klasma.github.io/Logging_2560/kartor/A 51078-2019 karta.png", "A 51078-2019")</f>
        <v/>
      </c>
      <c r="V44">
        <f>HYPERLINK("https://klasma.github.io/Logging_2560/klagomål/A 51078-2019 FSC-klagomål.docx", "A 51078-2019")</f>
        <v/>
      </c>
      <c r="W44">
        <f>HYPERLINK("https://klasma.github.io/Logging_2560/klagomålsmail/A 51078-2019 FSC-klagomål mail.docx", "A 51078-2019")</f>
        <v/>
      </c>
      <c r="X44">
        <f>HYPERLINK("https://klasma.github.io/Logging_2560/tillsyn/A 51078-2019 tillsynsbegäran.docx", "A 51078-2019")</f>
        <v/>
      </c>
      <c r="Y44">
        <f>HYPERLINK("https://klasma.github.io/Logging_2560/tillsynsmail/A 51078-2019 tillsynsbegäran mail.docx", "A 51078-2019")</f>
        <v/>
      </c>
      <c r="Z44">
        <f>HYPERLINK("https://klasma.github.io/Logging_2560/fåglar/A 51078-2019 prioriterade fågelarter.docx", "A 51078-2019")</f>
        <v/>
      </c>
    </row>
    <row r="45" ht="15" customHeight="1">
      <c r="A45" t="inlineStr">
        <is>
          <t>A 58201-2021</t>
        </is>
      </c>
      <c r="B45" s="1" t="n">
        <v>44487</v>
      </c>
      <c r="C45" s="1" t="n">
        <v>45626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13.4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HYPERLINK("https://klasma.github.io/Logging_2560/artfynd/A 58201-2021 artfynd.xlsx", "A 58201-2021")</f>
        <v/>
      </c>
      <c r="T45">
        <f>HYPERLINK("https://klasma.github.io/Logging_2560/kartor/A 58201-2021 karta.png", "A 58201-2021")</f>
        <v/>
      </c>
      <c r="V45">
        <f>HYPERLINK("https://klasma.github.io/Logging_2560/klagomål/A 58201-2021 FSC-klagomål.docx", "A 58201-2021")</f>
        <v/>
      </c>
      <c r="W45">
        <f>HYPERLINK("https://klasma.github.io/Logging_2560/klagomålsmail/A 58201-2021 FSC-klagomål mail.docx", "A 58201-2021")</f>
        <v/>
      </c>
      <c r="X45">
        <f>HYPERLINK("https://klasma.github.io/Logging_2560/tillsyn/A 58201-2021 tillsynsbegäran.docx", "A 58201-2021")</f>
        <v/>
      </c>
      <c r="Y45">
        <f>HYPERLINK("https://klasma.github.io/Logging_2560/tillsynsmail/A 58201-2021 tillsynsbegäran mail.docx", "A 58201-2021")</f>
        <v/>
      </c>
      <c r="Z45">
        <f>HYPERLINK("https://klasma.github.io/Logging_2560/fåglar/A 58201-2021 prioriterade fågelarter.docx", "A 58201-2021")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45626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34022-2022</t>
        </is>
      </c>
      <c r="B47" s="1" t="n">
        <v>44791</v>
      </c>
      <c r="C47" s="1" t="n">
        <v>45626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34022-2022 artfynd.xlsx", "A 34022-2022")</f>
        <v/>
      </c>
      <c r="T47">
        <f>HYPERLINK("https://klasma.github.io/Logging_2560/kartor/A 34022-2022 karta.png", "A 34022-2022")</f>
        <v/>
      </c>
      <c r="V47">
        <f>HYPERLINK("https://klasma.github.io/Logging_2560/klagomål/A 34022-2022 FSC-klagomål.docx", "A 34022-2022")</f>
        <v/>
      </c>
      <c r="W47">
        <f>HYPERLINK("https://klasma.github.io/Logging_2560/klagomålsmail/A 34022-2022 FSC-klagomål mail.docx", "A 34022-2022")</f>
        <v/>
      </c>
      <c r="X47">
        <f>HYPERLINK("https://klasma.github.io/Logging_2560/tillsyn/A 34022-2022 tillsynsbegäran.docx", "A 34022-2022")</f>
        <v/>
      </c>
      <c r="Y47">
        <f>HYPERLINK("https://klasma.github.io/Logging_2560/tillsynsmail/A 34022-2022 tillsynsbegäran mail.docx", "A 34022-2022")</f>
        <v/>
      </c>
    </row>
    <row r="48" ht="15" customHeight="1">
      <c r="A48" t="inlineStr">
        <is>
          <t>A 38620-2022</t>
        </is>
      </c>
      <c r="B48" s="1" t="n">
        <v>44813</v>
      </c>
      <c r="C48" s="1" t="n">
        <v>45626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HYPERLINK("https://klasma.github.io/Logging_2560/artfynd/A 38620-2022 artfynd.xlsx", "A 38620-2022")</f>
        <v/>
      </c>
      <c r="T48">
        <f>HYPERLINK("https://klasma.github.io/Logging_2560/kartor/A 38620-2022 karta.png", "A 38620-2022")</f>
        <v/>
      </c>
      <c r="V48">
        <f>HYPERLINK("https://klasma.github.io/Logging_2560/klagomål/A 38620-2022 FSC-klagomål.docx", "A 38620-2022")</f>
        <v/>
      </c>
      <c r="W48">
        <f>HYPERLINK("https://klasma.github.io/Logging_2560/klagomålsmail/A 38620-2022 FSC-klagomål mail.docx", "A 38620-2022")</f>
        <v/>
      </c>
      <c r="X48">
        <f>HYPERLINK("https://klasma.github.io/Logging_2560/tillsyn/A 38620-2022 tillsynsbegäran.docx", "A 38620-2022")</f>
        <v/>
      </c>
      <c r="Y48">
        <f>HYPERLINK("https://klasma.github.io/Logging_2560/tillsynsmail/A 38620-2022 tillsynsbegäran mail.docx", "A 38620-2022")</f>
        <v/>
      </c>
    </row>
    <row r="49" ht="15" customHeight="1">
      <c r="A49" t="inlineStr">
        <is>
          <t>A 42680-2022</t>
        </is>
      </c>
      <c r="B49" s="1" t="n">
        <v>44832</v>
      </c>
      <c r="C49" s="1" t="n">
        <v>45626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42680-2022 artfynd.xlsx", "A 42680-2022")</f>
        <v/>
      </c>
      <c r="T49">
        <f>HYPERLINK("https://klasma.github.io/Logging_2560/kartor/A 42680-2022 karta.png", "A 42680-2022")</f>
        <v/>
      </c>
      <c r="V49">
        <f>HYPERLINK("https://klasma.github.io/Logging_2560/klagomål/A 42680-2022 FSC-klagomål.docx", "A 42680-2022")</f>
        <v/>
      </c>
      <c r="W49">
        <f>HYPERLINK("https://klasma.github.io/Logging_2560/klagomålsmail/A 42680-2022 FSC-klagomål mail.docx", "A 42680-2022")</f>
        <v/>
      </c>
      <c r="X49">
        <f>HYPERLINK("https://klasma.github.io/Logging_2560/tillsyn/A 42680-2022 tillsynsbegäran.docx", "A 42680-2022")</f>
        <v/>
      </c>
      <c r="Y49">
        <f>HYPERLINK("https://klasma.github.io/Logging_2560/tillsynsmail/A 42680-2022 tillsynsbegäran mail.docx", "A 42680-2022")</f>
        <v/>
      </c>
    </row>
    <row r="50" ht="15" customHeight="1">
      <c r="A50" t="inlineStr">
        <is>
          <t>A 44283-2022</t>
        </is>
      </c>
      <c r="B50" s="1" t="n">
        <v>44839</v>
      </c>
      <c r="C50" s="1" t="n">
        <v>45626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44283-2022 artfynd.xlsx", "A 44283-2022")</f>
        <v/>
      </c>
      <c r="T50">
        <f>HYPERLINK("https://klasma.github.io/Logging_2560/kartor/A 44283-2022 karta.png", "A 44283-2022")</f>
        <v/>
      </c>
      <c r="V50">
        <f>HYPERLINK("https://klasma.github.io/Logging_2560/klagomål/A 44283-2022 FSC-klagomål.docx", "A 44283-2022")</f>
        <v/>
      </c>
      <c r="W50">
        <f>HYPERLINK("https://klasma.github.io/Logging_2560/klagomålsmail/A 44283-2022 FSC-klagomål mail.docx", "A 44283-2022")</f>
        <v/>
      </c>
      <c r="X50">
        <f>HYPERLINK("https://klasma.github.io/Logging_2560/tillsyn/A 44283-2022 tillsynsbegäran.docx", "A 44283-2022")</f>
        <v/>
      </c>
      <c r="Y50">
        <f>HYPERLINK("https://klasma.github.io/Logging_2560/tillsynsmail/A 44283-2022 tillsynsbegäran mail.docx", "A 44283-2022")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45626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29651-2023</t>
        </is>
      </c>
      <c r="B52" s="1" t="n">
        <v>45107</v>
      </c>
      <c r="C52" s="1" t="n">
        <v>45626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HYPERLINK("https://klasma.github.io/Logging_2560/artfynd/A 29651-2023 artfynd.xlsx", "A 29651-2023")</f>
        <v/>
      </c>
      <c r="T52">
        <f>HYPERLINK("https://klasma.github.io/Logging_2560/kartor/A 29651-2023 karta.png", "A 29651-2023")</f>
        <v/>
      </c>
      <c r="V52">
        <f>HYPERLINK("https://klasma.github.io/Logging_2560/klagomål/A 29651-2023 FSC-klagomål.docx", "A 29651-2023")</f>
        <v/>
      </c>
      <c r="W52">
        <f>HYPERLINK("https://klasma.github.io/Logging_2560/klagomålsmail/A 29651-2023 FSC-klagomål mail.docx", "A 29651-2023")</f>
        <v/>
      </c>
      <c r="X52">
        <f>HYPERLINK("https://klasma.github.io/Logging_2560/tillsyn/A 29651-2023 tillsynsbegäran.docx", "A 29651-2023")</f>
        <v/>
      </c>
      <c r="Y52">
        <f>HYPERLINK("https://klasma.github.io/Logging_2560/tillsynsmail/A 29651-2023 tillsynsbegäran mail.docx", "A 29651-2023")</f>
        <v/>
      </c>
    </row>
    <row r="53" ht="15" customHeight="1">
      <c r="A53" t="inlineStr">
        <is>
          <t>A 29650-2023</t>
        </is>
      </c>
      <c r="B53" s="1" t="n">
        <v>45107</v>
      </c>
      <c r="C53" s="1" t="n">
        <v>45626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29650-2023 artfynd.xlsx", "A 29650-2023")</f>
        <v/>
      </c>
      <c r="T53">
        <f>HYPERLINK("https://klasma.github.io/Logging_2560/kartor/A 29650-2023 karta.png", "A 29650-2023")</f>
        <v/>
      </c>
      <c r="V53">
        <f>HYPERLINK("https://klasma.github.io/Logging_2560/klagomål/A 29650-2023 FSC-klagomål.docx", "A 29650-2023")</f>
        <v/>
      </c>
      <c r="W53">
        <f>HYPERLINK("https://klasma.github.io/Logging_2560/klagomålsmail/A 29650-2023 FSC-klagomål mail.docx", "A 29650-2023")</f>
        <v/>
      </c>
      <c r="X53">
        <f>HYPERLINK("https://klasma.github.io/Logging_2560/tillsyn/A 29650-2023 tillsynsbegäran.docx", "A 29650-2023")</f>
        <v/>
      </c>
      <c r="Y53">
        <f>HYPERLINK("https://klasma.github.io/Logging_2560/tillsynsmail/A 29650-2023 tillsynsbegäran mail.docx", "A 29650-2023")</f>
        <v/>
      </c>
    </row>
    <row r="54" ht="15" customHeight="1">
      <c r="A54" t="inlineStr">
        <is>
          <t>A 37717-2023</t>
        </is>
      </c>
      <c r="B54" s="1" t="n">
        <v>45159</v>
      </c>
      <c r="C54" s="1" t="n">
        <v>45626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37717-2023 artfynd.xlsx", "A 37717-2023")</f>
        <v/>
      </c>
      <c r="T54">
        <f>HYPERLINK("https://klasma.github.io/Logging_2560/kartor/A 37717-2023 karta.png", "A 37717-2023")</f>
        <v/>
      </c>
      <c r="V54">
        <f>HYPERLINK("https://klasma.github.io/Logging_2560/klagomål/A 37717-2023 FSC-klagomål.docx", "A 37717-2023")</f>
        <v/>
      </c>
      <c r="W54">
        <f>HYPERLINK("https://klasma.github.io/Logging_2560/klagomålsmail/A 37717-2023 FSC-klagomål mail.docx", "A 37717-2023")</f>
        <v/>
      </c>
      <c r="X54">
        <f>HYPERLINK("https://klasma.github.io/Logging_2560/tillsyn/A 37717-2023 tillsynsbegäran.docx", "A 37717-2023")</f>
        <v/>
      </c>
      <c r="Y54">
        <f>HYPERLINK("https://klasma.github.io/Logging_2560/tillsynsmail/A 37717-2023 tillsynsbegäran mail.docx", "A 37717-2023")</f>
        <v/>
      </c>
    </row>
    <row r="55" ht="15" customHeight="1">
      <c r="A55" t="inlineStr">
        <is>
          <t>A 39828-2023</t>
        </is>
      </c>
      <c r="B55" s="1" t="n">
        <v>45168</v>
      </c>
      <c r="C55" s="1" t="n">
        <v>45626</v>
      </c>
      <c r="D55" t="inlineStr">
        <is>
          <t>NORRBOTTENS LÄN</t>
        </is>
      </c>
      <c r="E55" t="inlineStr">
        <is>
          <t>ÄLVSBYN</t>
        </is>
      </c>
      <c r="G55" t="n">
        <v>14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HYPERLINK("https://klasma.github.io/Logging_2560/artfynd/A 39828-2023 artfynd.xlsx", "A 39828-2023")</f>
        <v/>
      </c>
      <c r="T55">
        <f>HYPERLINK("https://klasma.github.io/Logging_2560/kartor/A 39828-2023 karta.png", "A 39828-2023")</f>
        <v/>
      </c>
      <c r="V55">
        <f>HYPERLINK("https://klasma.github.io/Logging_2560/klagomål/A 39828-2023 FSC-klagomål.docx", "A 39828-2023")</f>
        <v/>
      </c>
      <c r="W55">
        <f>HYPERLINK("https://klasma.github.io/Logging_2560/klagomålsmail/A 39828-2023 FSC-klagomål mail.docx", "A 39828-2023")</f>
        <v/>
      </c>
      <c r="X55">
        <f>HYPERLINK("https://klasma.github.io/Logging_2560/tillsyn/A 39828-2023 tillsynsbegäran.docx", "A 39828-2023")</f>
        <v/>
      </c>
      <c r="Y55">
        <f>HYPERLINK("https://klasma.github.io/Logging_2560/tillsynsmail/A 39828-2023 tillsynsbegäran mail.docx", "A 39828-2023")</f>
        <v/>
      </c>
    </row>
    <row r="56" ht="15" customHeight="1">
      <c r="A56" t="inlineStr">
        <is>
          <t>A 40463-2023</t>
        </is>
      </c>
      <c r="B56" s="1" t="n">
        <v>45170</v>
      </c>
      <c r="C56" s="1" t="n">
        <v>45626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40463-2023 artfynd.xlsx", "A 40463-2023")</f>
        <v/>
      </c>
      <c r="T56">
        <f>HYPERLINK("https://klasma.github.io/Logging_2560/kartor/A 40463-2023 karta.png", "A 40463-2023")</f>
        <v/>
      </c>
      <c r="V56">
        <f>HYPERLINK("https://klasma.github.io/Logging_2560/klagomål/A 40463-2023 FSC-klagomål.docx", "A 40463-2023")</f>
        <v/>
      </c>
      <c r="W56">
        <f>HYPERLINK("https://klasma.github.io/Logging_2560/klagomålsmail/A 40463-2023 FSC-klagomål mail.docx", "A 40463-2023")</f>
        <v/>
      </c>
      <c r="X56">
        <f>HYPERLINK("https://klasma.github.io/Logging_2560/tillsyn/A 40463-2023 tillsynsbegäran.docx", "A 40463-2023")</f>
        <v/>
      </c>
      <c r="Y56">
        <f>HYPERLINK("https://klasma.github.io/Logging_2560/tillsynsmail/A 40463-2023 tillsynsbegäran mail.docx", "A 40463-2023")</f>
        <v/>
      </c>
    </row>
    <row r="57" ht="15" customHeight="1">
      <c r="A57" t="inlineStr">
        <is>
          <t>A 21974-2024</t>
        </is>
      </c>
      <c r="B57" s="1" t="n">
        <v>45443</v>
      </c>
      <c r="C57" s="1" t="n">
        <v>45626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HYPERLINK("https://klasma.github.io/Logging_2560/artfynd/A 21974-2024 artfynd.xlsx", "A 21974-2024")</f>
        <v/>
      </c>
      <c r="T57">
        <f>HYPERLINK("https://klasma.github.io/Logging_2560/kartor/A 21974-2024 karta.png", "A 21974-2024")</f>
        <v/>
      </c>
      <c r="V57">
        <f>HYPERLINK("https://klasma.github.io/Logging_2560/klagomål/A 21974-2024 FSC-klagomål.docx", "A 21974-2024")</f>
        <v/>
      </c>
      <c r="W57">
        <f>HYPERLINK("https://klasma.github.io/Logging_2560/klagomålsmail/A 21974-2024 FSC-klagomål mail.docx", "A 21974-2024")</f>
        <v/>
      </c>
      <c r="X57">
        <f>HYPERLINK("https://klasma.github.io/Logging_2560/tillsyn/A 21974-2024 tillsynsbegäran.docx", "A 21974-2024")</f>
        <v/>
      </c>
      <c r="Y57">
        <f>HYPERLINK("https://klasma.github.io/Logging_2560/tillsynsmail/A 21974-2024 tillsynsbegäran mail.docx", "A 21974-2024")</f>
        <v/>
      </c>
    </row>
    <row r="58" ht="15" customHeight="1">
      <c r="A58" t="inlineStr">
        <is>
          <t>A 21858-2024</t>
        </is>
      </c>
      <c r="B58" s="1" t="n">
        <v>45443</v>
      </c>
      <c r="C58" s="1" t="n">
        <v>45626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21858-2024 artfynd.xlsx", "A 21858-2024")</f>
        <v/>
      </c>
      <c r="T58">
        <f>HYPERLINK("https://klasma.github.io/Logging_2560/kartor/A 21858-2024 karta.png", "A 21858-2024")</f>
        <v/>
      </c>
      <c r="V58">
        <f>HYPERLINK("https://klasma.github.io/Logging_2560/klagomål/A 21858-2024 FSC-klagomål.docx", "A 21858-2024")</f>
        <v/>
      </c>
      <c r="W58">
        <f>HYPERLINK("https://klasma.github.io/Logging_2560/klagomålsmail/A 21858-2024 FSC-klagomål mail.docx", "A 21858-2024")</f>
        <v/>
      </c>
      <c r="X58">
        <f>HYPERLINK("https://klasma.github.io/Logging_2560/tillsyn/A 21858-2024 tillsynsbegäran.docx", "A 21858-2024")</f>
        <v/>
      </c>
      <c r="Y58">
        <f>HYPERLINK("https://klasma.github.io/Logging_2560/tillsynsmail/A 21858-2024 tillsynsbegäran mail.docx", "A 21858-2024")</f>
        <v/>
      </c>
    </row>
    <row r="59" ht="15" customHeight="1">
      <c r="A59" t="inlineStr">
        <is>
          <t>A 23132-2024</t>
        </is>
      </c>
      <c r="B59" s="1" t="n">
        <v>45450</v>
      </c>
      <c r="C59" s="1" t="n">
        <v>45626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23132-2024 artfynd.xlsx", "A 23132-2024")</f>
        <v/>
      </c>
      <c r="T59">
        <f>HYPERLINK("https://klasma.github.io/Logging_2560/kartor/A 23132-2024 karta.png", "A 23132-2024")</f>
        <v/>
      </c>
      <c r="V59">
        <f>HYPERLINK("https://klasma.github.io/Logging_2560/klagomål/A 23132-2024 FSC-klagomål.docx", "A 23132-2024")</f>
        <v/>
      </c>
      <c r="W59">
        <f>HYPERLINK("https://klasma.github.io/Logging_2560/klagomålsmail/A 23132-2024 FSC-klagomål mail.docx", "A 23132-2024")</f>
        <v/>
      </c>
      <c r="X59">
        <f>HYPERLINK("https://klasma.github.io/Logging_2560/tillsyn/A 23132-2024 tillsynsbegäran.docx", "A 23132-2024")</f>
        <v/>
      </c>
      <c r="Y59">
        <f>HYPERLINK("https://klasma.github.io/Logging_2560/tillsynsmail/A 23132-2024 tillsynsbegäran mail.docx", "A 23132-2024")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45626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43774-2024</t>
        </is>
      </c>
      <c r="B61" s="1" t="n">
        <v>45570</v>
      </c>
      <c r="C61" s="1" t="n">
        <v>45626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HYPERLINK("https://klasma.github.io/Logging_2560/artfynd/A 43774-2024 artfynd.xlsx", "A 43774-2024")</f>
        <v/>
      </c>
      <c r="T61">
        <f>HYPERLINK("https://klasma.github.io/Logging_2560/kartor/A 43774-2024 karta.png", "A 43774-2024")</f>
        <v/>
      </c>
      <c r="V61">
        <f>HYPERLINK("https://klasma.github.io/Logging_2560/klagomål/A 43774-2024 FSC-klagomål.docx", "A 43774-2024")</f>
        <v/>
      </c>
      <c r="W61">
        <f>HYPERLINK("https://klasma.github.io/Logging_2560/klagomålsmail/A 43774-2024 FSC-klagomål mail.docx", "A 43774-2024")</f>
        <v/>
      </c>
      <c r="X61">
        <f>HYPERLINK("https://klasma.github.io/Logging_2560/tillsyn/A 43774-2024 tillsynsbegäran.docx", "A 43774-2024")</f>
        <v/>
      </c>
      <c r="Y61">
        <f>HYPERLINK("https://klasma.github.io/Logging_2560/tillsynsmail/A 43774-2024 tillsynsbegäran mail.docx", "A 43774-2024")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45626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23610-2019</t>
        </is>
      </c>
      <c r="B63" s="1" t="n">
        <v>43594</v>
      </c>
      <c r="C63" s="1" t="n">
        <v>45626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45626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45626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45626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45626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45626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45626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45626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45626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45626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45626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45626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45626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45626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45626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45626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45626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45626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45626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45626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45626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45626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45626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45626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45626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45626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45626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45626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45626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45626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45626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45626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45626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45626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45626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45626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45626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45626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45626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45626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45626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45626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45626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45626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45626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45626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45626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45626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45626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45626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45626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45626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45626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45626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45626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45626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45626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45626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45626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45626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45626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45626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45626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45626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45626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45626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45626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45626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45626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45626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45626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45626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45626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45626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45626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45626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45626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45626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45626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45626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45626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45626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45626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45626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45626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45626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45626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45626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45626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45626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45626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45626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45626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45626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45626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45626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45626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45626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52253-2021</t>
        </is>
      </c>
      <c r="B161" s="1" t="n">
        <v>44463</v>
      </c>
      <c r="C161" s="1" t="n">
        <v>45626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52716-2021</t>
        </is>
      </c>
      <c r="B162" s="1" t="n">
        <v>44466</v>
      </c>
      <c r="C162" s="1" t="n">
        <v>45626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54804-2021</t>
        </is>
      </c>
      <c r="B163" s="1" t="n">
        <v>44473</v>
      </c>
      <c r="C163" s="1" t="n">
        <v>45626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54803-2021</t>
        </is>
      </c>
      <c r="B164" s="1" t="n">
        <v>44474</v>
      </c>
      <c r="C164" s="1" t="n">
        <v>45626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55775-2021</t>
        </is>
      </c>
      <c r="B165" s="1" t="n">
        <v>44476</v>
      </c>
      <c r="C165" s="1" t="n">
        <v>45626</v>
      </c>
      <c r="D165" t="inlineStr">
        <is>
          <t>NORRBOTTENS LÄN</t>
        </is>
      </c>
      <c r="E165" t="inlineStr">
        <is>
          <t>ÄLVSBYN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57816-2021</t>
        </is>
      </c>
      <c r="B166" s="1" t="n">
        <v>44484</v>
      </c>
      <c r="C166" s="1" t="n">
        <v>45626</v>
      </c>
      <c r="D166" t="inlineStr">
        <is>
          <t>NORRBOTTENS LÄN</t>
        </is>
      </c>
      <c r="E166" t="inlineStr">
        <is>
          <t>ÄLVSBYN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58532-2021</t>
        </is>
      </c>
      <c r="B167" s="1" t="n">
        <v>44488</v>
      </c>
      <c r="C167" s="1" t="n">
        <v>45626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59483-2021</t>
        </is>
      </c>
      <c r="B168" s="1" t="n">
        <v>44491</v>
      </c>
      <c r="C168" s="1" t="n">
        <v>45626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59487-2021</t>
        </is>
      </c>
      <c r="B169" s="1" t="n">
        <v>44491</v>
      </c>
      <c r="C169" s="1" t="n">
        <v>45626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59553-2021</t>
        </is>
      </c>
      <c r="B170" s="1" t="n">
        <v>44491</v>
      </c>
      <c r="C170" s="1" t="n">
        <v>45626</v>
      </c>
      <c r="D170" t="inlineStr">
        <is>
          <t>NORRBOTTENS LÄN</t>
        </is>
      </c>
      <c r="E170" t="inlineStr">
        <is>
          <t>ÄLVSBYN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59742-2021</t>
        </is>
      </c>
      <c r="B171" s="1" t="n">
        <v>44494</v>
      </c>
      <c r="C171" s="1" t="n">
        <v>45626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60030-2021</t>
        </is>
      </c>
      <c r="B172" s="1" t="n">
        <v>44494</v>
      </c>
      <c r="C172" s="1" t="n">
        <v>45626</v>
      </c>
      <c r="D172" t="inlineStr">
        <is>
          <t>NORRBOTTENS LÄN</t>
        </is>
      </c>
      <c r="E172" t="inlineStr">
        <is>
          <t>ÄLVSBYN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65410-2021</t>
        </is>
      </c>
      <c r="B173" s="1" t="n">
        <v>44515</v>
      </c>
      <c r="C173" s="1" t="n">
        <v>45626</v>
      </c>
      <c r="D173" t="inlineStr">
        <is>
          <t>NORRBOTTENS LÄN</t>
        </is>
      </c>
      <c r="E173" t="inlineStr">
        <is>
          <t>ÄLVSBYN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67103-2021</t>
        </is>
      </c>
      <c r="B174" s="1" t="n">
        <v>44522</v>
      </c>
      <c r="C174" s="1" t="n">
        <v>45626</v>
      </c>
      <c r="D174" t="inlineStr">
        <is>
          <t>NORRBOTTENS LÄN</t>
        </is>
      </c>
      <c r="E174" t="inlineStr">
        <is>
          <t>ÄLVSBYN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67106-2021</t>
        </is>
      </c>
      <c r="B175" s="1" t="n">
        <v>44522</v>
      </c>
      <c r="C175" s="1" t="n">
        <v>45626</v>
      </c>
      <c r="D175" t="inlineStr">
        <is>
          <t>NORRBOTTENS LÄN</t>
        </is>
      </c>
      <c r="E175" t="inlineStr">
        <is>
          <t>ÄLVSBYN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69314-2021</t>
        </is>
      </c>
      <c r="B176" s="1" t="n">
        <v>44531</v>
      </c>
      <c r="C176" s="1" t="n">
        <v>45626</v>
      </c>
      <c r="D176" t="inlineStr">
        <is>
          <t>NORRBOTTENS LÄN</t>
        </is>
      </c>
      <c r="E176" t="inlineStr">
        <is>
          <t>ÄLVSBYN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71925-2021</t>
        </is>
      </c>
      <c r="B177" s="1" t="n">
        <v>44543</v>
      </c>
      <c r="C177" s="1" t="n">
        <v>45626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71923-2021</t>
        </is>
      </c>
      <c r="B178" s="1" t="n">
        <v>44543</v>
      </c>
      <c r="C178" s="1" t="n">
        <v>45626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71939-2021</t>
        </is>
      </c>
      <c r="B179" s="1" t="n">
        <v>44543</v>
      </c>
      <c r="C179" s="1" t="n">
        <v>45626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72951-2021</t>
        </is>
      </c>
      <c r="B180" s="1" t="n">
        <v>44547</v>
      </c>
      <c r="C180" s="1" t="n">
        <v>45626</v>
      </c>
      <c r="D180" t="inlineStr">
        <is>
          <t>NORRBOTTENS LÄN</t>
        </is>
      </c>
      <c r="E180" t="inlineStr">
        <is>
          <t>ÄLVSBYN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73589-2021</t>
        </is>
      </c>
      <c r="B181" s="1" t="n">
        <v>44552</v>
      </c>
      <c r="C181" s="1" t="n">
        <v>45626</v>
      </c>
      <c r="D181" t="inlineStr">
        <is>
          <t>NORRBOTTENS LÄN</t>
        </is>
      </c>
      <c r="E181" t="inlineStr">
        <is>
          <t>ÄLVSBYN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73648-2021</t>
        </is>
      </c>
      <c r="B182" s="1" t="n">
        <v>44552</v>
      </c>
      <c r="C182" s="1" t="n">
        <v>45626</v>
      </c>
      <c r="D182" t="inlineStr">
        <is>
          <t>NORRBOTTENS LÄN</t>
        </is>
      </c>
      <c r="E182" t="inlineStr">
        <is>
          <t>ÄLVSBYN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73616-2021</t>
        </is>
      </c>
      <c r="B183" s="1" t="n">
        <v>44552</v>
      </c>
      <c r="C183" s="1" t="n">
        <v>45626</v>
      </c>
      <c r="D183" t="inlineStr">
        <is>
          <t>NORRBOTTENS LÄN</t>
        </is>
      </c>
      <c r="E183" t="inlineStr">
        <is>
          <t>ÄLVSBYN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73774-2021</t>
        </is>
      </c>
      <c r="B184" s="1" t="n">
        <v>44552</v>
      </c>
      <c r="C184" s="1" t="n">
        <v>45626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2751-2022</t>
        </is>
      </c>
      <c r="B185" s="1" t="n">
        <v>44580</v>
      </c>
      <c r="C185" s="1" t="n">
        <v>45626</v>
      </c>
      <c r="D185" t="inlineStr">
        <is>
          <t>NORRBOTTENS LÄN</t>
        </is>
      </c>
      <c r="E185" t="inlineStr">
        <is>
          <t>ÄLVSBYN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6028-2022</t>
        </is>
      </c>
      <c r="B186" s="1" t="n">
        <v>44599</v>
      </c>
      <c r="C186" s="1" t="n">
        <v>45626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27.9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6820-2022</t>
        </is>
      </c>
      <c r="B187" s="1" t="n">
        <v>44602</v>
      </c>
      <c r="C187" s="1" t="n">
        <v>45626</v>
      </c>
      <c r="D187" t="inlineStr">
        <is>
          <t>NORRBOTTENS LÄN</t>
        </is>
      </c>
      <c r="E187" t="inlineStr">
        <is>
          <t>ÄLVSBYN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6831-2022</t>
        </is>
      </c>
      <c r="B188" s="1" t="n">
        <v>44602</v>
      </c>
      <c r="C188" s="1" t="n">
        <v>45626</v>
      </c>
      <c r="D188" t="inlineStr">
        <is>
          <t>NORRBOTTENS LÄN</t>
        </is>
      </c>
      <c r="E188" t="inlineStr">
        <is>
          <t>ÄLVSBYN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9333-2022</t>
        </is>
      </c>
      <c r="B189" s="1" t="n">
        <v>44616</v>
      </c>
      <c r="C189" s="1" t="n">
        <v>45626</v>
      </c>
      <c r="D189" t="inlineStr">
        <is>
          <t>NORRBOTTENS LÄN</t>
        </is>
      </c>
      <c r="E189" t="inlineStr">
        <is>
          <t>ÄLVSBYN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9643-2022</t>
        </is>
      </c>
      <c r="B190" s="1" t="n">
        <v>44617</v>
      </c>
      <c r="C190" s="1" t="n">
        <v>45626</v>
      </c>
      <c r="D190" t="inlineStr">
        <is>
          <t>NORRBOTTENS LÄN</t>
        </is>
      </c>
      <c r="E190" t="inlineStr">
        <is>
          <t>ÄLVSBYN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9623-2022</t>
        </is>
      </c>
      <c r="B191" s="1" t="n">
        <v>44617</v>
      </c>
      <c r="C191" s="1" t="n">
        <v>45626</v>
      </c>
      <c r="D191" t="inlineStr">
        <is>
          <t>NORRBOTTENS LÄN</t>
        </is>
      </c>
      <c r="E191" t="inlineStr">
        <is>
          <t>ÄLVSBYN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9631-2022</t>
        </is>
      </c>
      <c r="B192" s="1" t="n">
        <v>44617</v>
      </c>
      <c r="C192" s="1" t="n">
        <v>45626</v>
      </c>
      <c r="D192" t="inlineStr">
        <is>
          <t>NORRBOTTENS LÄN</t>
        </is>
      </c>
      <c r="E192" t="inlineStr">
        <is>
          <t>ÄLVSBYN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9618-2022</t>
        </is>
      </c>
      <c r="B193" s="1" t="n">
        <v>44617</v>
      </c>
      <c r="C193" s="1" t="n">
        <v>45626</v>
      </c>
      <c r="D193" t="inlineStr">
        <is>
          <t>NORRBOTTENS LÄN</t>
        </is>
      </c>
      <c r="E193" t="inlineStr">
        <is>
          <t>ÄLVSBYN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9634-2022</t>
        </is>
      </c>
      <c r="B194" s="1" t="n">
        <v>44617</v>
      </c>
      <c r="C194" s="1" t="n">
        <v>45626</v>
      </c>
      <c r="D194" t="inlineStr">
        <is>
          <t>NORRBOTTENS LÄN</t>
        </is>
      </c>
      <c r="E194" t="inlineStr">
        <is>
          <t>ÄLVSBYN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10812-2022</t>
        </is>
      </c>
      <c r="B195" s="1" t="n">
        <v>44627</v>
      </c>
      <c r="C195" s="1" t="n">
        <v>45626</v>
      </c>
      <c r="D195" t="inlineStr">
        <is>
          <t>NORRBOTTENS LÄN</t>
        </is>
      </c>
      <c r="E195" t="inlineStr">
        <is>
          <t>ÄLVSBYN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11477-2022</t>
        </is>
      </c>
      <c r="B196" s="1" t="n">
        <v>44630</v>
      </c>
      <c r="C196" s="1" t="n">
        <v>45626</v>
      </c>
      <c r="D196" t="inlineStr">
        <is>
          <t>NORRBOTTENS LÄN</t>
        </is>
      </c>
      <c r="E196" t="inlineStr">
        <is>
          <t>ÄLVSBYN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12156-2022</t>
        </is>
      </c>
      <c r="B197" s="1" t="n">
        <v>44636</v>
      </c>
      <c r="C197" s="1" t="n">
        <v>45626</v>
      </c>
      <c r="D197" t="inlineStr">
        <is>
          <t>NORRBOTTENS LÄN</t>
        </is>
      </c>
      <c r="E197" t="inlineStr">
        <is>
          <t>ÄLVSBYN</t>
        </is>
      </c>
      <c r="G197" t="n">
        <v>23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13456-2022</t>
        </is>
      </c>
      <c r="B198" s="1" t="n">
        <v>44645</v>
      </c>
      <c r="C198" s="1" t="n">
        <v>45626</v>
      </c>
      <c r="D198" t="inlineStr">
        <is>
          <t>NORRBOTTENS LÄN</t>
        </is>
      </c>
      <c r="E198" t="inlineStr">
        <is>
          <t>ÄLVSBYN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15526-2022</t>
        </is>
      </c>
      <c r="B199" s="1" t="n">
        <v>44662</v>
      </c>
      <c r="C199" s="1" t="n">
        <v>45626</v>
      </c>
      <c r="D199" t="inlineStr">
        <is>
          <t>NORRBOTTENS LÄN</t>
        </is>
      </c>
      <c r="E199" t="inlineStr">
        <is>
          <t>ÄLVSBYN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17094-2022</t>
        </is>
      </c>
      <c r="B200" s="1" t="n">
        <v>44677</v>
      </c>
      <c r="C200" s="1" t="n">
        <v>45626</v>
      </c>
      <c r="D200" t="inlineStr">
        <is>
          <t>NORRBOTTENS LÄN</t>
        </is>
      </c>
      <c r="E200" t="inlineStr">
        <is>
          <t>ÄLVSBYN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18268-2022</t>
        </is>
      </c>
      <c r="B201" s="1" t="n">
        <v>44685</v>
      </c>
      <c r="C201" s="1" t="n">
        <v>45626</v>
      </c>
      <c r="D201" t="inlineStr">
        <is>
          <t>NORRBOTTENS LÄN</t>
        </is>
      </c>
      <c r="E201" t="inlineStr">
        <is>
          <t>ÄLVSBYN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18841-2022</t>
        </is>
      </c>
      <c r="B202" s="1" t="n">
        <v>44690</v>
      </c>
      <c r="C202" s="1" t="n">
        <v>45626</v>
      </c>
      <c r="D202" t="inlineStr">
        <is>
          <t>NORRBOTTENS LÄN</t>
        </is>
      </c>
      <c r="E202" t="inlineStr">
        <is>
          <t>ÄLVSBYN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19459-2022</t>
        </is>
      </c>
      <c r="B203" s="1" t="n">
        <v>44693</v>
      </c>
      <c r="C203" s="1" t="n">
        <v>45626</v>
      </c>
      <c r="D203" t="inlineStr">
        <is>
          <t>NORRBOTTENS LÄN</t>
        </is>
      </c>
      <c r="E203" t="inlineStr">
        <is>
          <t>ÄLVSBYN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19746-2022</t>
        </is>
      </c>
      <c r="B204" s="1" t="n">
        <v>44694</v>
      </c>
      <c r="C204" s="1" t="n">
        <v>45626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19747-2022</t>
        </is>
      </c>
      <c r="B205" s="1" t="n">
        <v>44694</v>
      </c>
      <c r="C205" s="1" t="n">
        <v>45626</v>
      </c>
      <c r="D205" t="inlineStr">
        <is>
          <t>NORRBOTTENS LÄN</t>
        </is>
      </c>
      <c r="E205" t="inlineStr">
        <is>
          <t>ÄLVSBYN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20810-2022</t>
        </is>
      </c>
      <c r="B206" s="1" t="n">
        <v>44701</v>
      </c>
      <c r="C206" s="1" t="n">
        <v>45626</v>
      </c>
      <c r="D206" t="inlineStr">
        <is>
          <t>NORRBOTTENS LÄN</t>
        </is>
      </c>
      <c r="E206" t="inlineStr">
        <is>
          <t>ÄLVSBYN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21313-2022</t>
        </is>
      </c>
      <c r="B207" s="1" t="n">
        <v>44705</v>
      </c>
      <c r="C207" s="1" t="n">
        <v>45626</v>
      </c>
      <c r="D207" t="inlineStr">
        <is>
          <t>NORRBOTTENS LÄN</t>
        </is>
      </c>
      <c r="E207" t="inlineStr">
        <is>
          <t>ÄLVSBYN</t>
        </is>
      </c>
      <c r="G207" t="n">
        <v>21.5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22098-2022</t>
        </is>
      </c>
      <c r="B208" s="1" t="n">
        <v>44711</v>
      </c>
      <c r="C208" s="1" t="n">
        <v>45626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23536-2022</t>
        </is>
      </c>
      <c r="B209" s="1" t="n">
        <v>44721</v>
      </c>
      <c r="C209" s="1" t="n">
        <v>45626</v>
      </c>
      <c r="D209" t="inlineStr">
        <is>
          <t>NORRBOTTENS LÄN</t>
        </is>
      </c>
      <c r="E209" t="inlineStr">
        <is>
          <t>ÄLVSBYN</t>
        </is>
      </c>
      <c r="F209" t="inlineStr">
        <is>
          <t>Övriga Aktiebolag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23581-2022</t>
        </is>
      </c>
      <c r="B210" s="1" t="n">
        <v>44721</v>
      </c>
      <c r="C210" s="1" t="n">
        <v>45626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24665-2022</t>
        </is>
      </c>
      <c r="B211" s="1" t="n">
        <v>44727</v>
      </c>
      <c r="C211" s="1" t="n">
        <v>45626</v>
      </c>
      <c r="D211" t="inlineStr">
        <is>
          <t>NORRBOTTENS LÄN</t>
        </is>
      </c>
      <c r="E211" t="inlineStr">
        <is>
          <t>ÄLVSBYN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24760-2022</t>
        </is>
      </c>
      <c r="B212" s="1" t="n">
        <v>44728</v>
      </c>
      <c r="C212" s="1" t="n">
        <v>45626</v>
      </c>
      <c r="D212" t="inlineStr">
        <is>
          <t>NORRBOTTENS LÄN</t>
        </is>
      </c>
      <c r="E212" t="inlineStr">
        <is>
          <t>ÄLVSBYN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25455-2022</t>
        </is>
      </c>
      <c r="B213" s="1" t="n">
        <v>44732</v>
      </c>
      <c r="C213" s="1" t="n">
        <v>45626</v>
      </c>
      <c r="D213" t="inlineStr">
        <is>
          <t>NORRBOTTENS LÄN</t>
        </is>
      </c>
      <c r="E213" t="inlineStr">
        <is>
          <t>ÄLVSBYN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25449-2022</t>
        </is>
      </c>
      <c r="B214" s="1" t="n">
        <v>44732</v>
      </c>
      <c r="C214" s="1" t="n">
        <v>45626</v>
      </c>
      <c r="D214" t="inlineStr">
        <is>
          <t>NORRBOTTENS LÄN</t>
        </is>
      </c>
      <c r="E214" t="inlineStr">
        <is>
          <t>ÄLVSBYN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26125-2022</t>
        </is>
      </c>
      <c r="B215" s="1" t="n">
        <v>44735</v>
      </c>
      <c r="C215" s="1" t="n">
        <v>45626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26406-2022</t>
        </is>
      </c>
      <c r="B216" s="1" t="n">
        <v>44736</v>
      </c>
      <c r="C216" s="1" t="n">
        <v>45626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26608-2022</t>
        </is>
      </c>
      <c r="B217" s="1" t="n">
        <v>44739</v>
      </c>
      <c r="C217" s="1" t="n">
        <v>45626</v>
      </c>
      <c r="D217" t="inlineStr">
        <is>
          <t>NORRBOTTENS LÄN</t>
        </is>
      </c>
      <c r="E217" t="inlineStr">
        <is>
          <t>ÄLVSBYN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26610-2022</t>
        </is>
      </c>
      <c r="B218" s="1" t="n">
        <v>44739</v>
      </c>
      <c r="C218" s="1" t="n">
        <v>45626</v>
      </c>
      <c r="D218" t="inlineStr">
        <is>
          <t>NORRBOTTENS LÄN</t>
        </is>
      </c>
      <c r="E218" t="inlineStr">
        <is>
          <t>ÄLVSBYN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26741-2022</t>
        </is>
      </c>
      <c r="B219" s="1" t="n">
        <v>44739</v>
      </c>
      <c r="C219" s="1" t="n">
        <v>45626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26579-2022</t>
        </is>
      </c>
      <c r="B220" s="1" t="n">
        <v>44739</v>
      </c>
      <c r="C220" s="1" t="n">
        <v>45626</v>
      </c>
      <c r="D220" t="inlineStr">
        <is>
          <t>NORRBOTTENS LÄN</t>
        </is>
      </c>
      <c r="E220" t="inlineStr">
        <is>
          <t>ÄLVSBYN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26740-2022</t>
        </is>
      </c>
      <c r="B221" s="1" t="n">
        <v>44739</v>
      </c>
      <c r="C221" s="1" t="n">
        <v>45626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27202-2022</t>
        </is>
      </c>
      <c r="B222" s="1" t="n">
        <v>44741</v>
      </c>
      <c r="C222" s="1" t="n">
        <v>45626</v>
      </c>
      <c r="D222" t="inlineStr">
        <is>
          <t>NORRBOTTENS LÄN</t>
        </is>
      </c>
      <c r="E222" t="inlineStr">
        <is>
          <t>ÄLVSBYN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27277-2022</t>
        </is>
      </c>
      <c r="B223" s="1" t="n">
        <v>44742</v>
      </c>
      <c r="C223" s="1" t="n">
        <v>45626</v>
      </c>
      <c r="D223" t="inlineStr">
        <is>
          <t>NORRBOTTENS LÄN</t>
        </is>
      </c>
      <c r="E223" t="inlineStr">
        <is>
          <t>ÄLVSBYN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28637-2022</t>
        </is>
      </c>
      <c r="B224" s="1" t="n">
        <v>44748</v>
      </c>
      <c r="C224" s="1" t="n">
        <v>45626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29190-2022</t>
        </is>
      </c>
      <c r="B225" s="1" t="n">
        <v>44750</v>
      </c>
      <c r="C225" s="1" t="n">
        <v>45626</v>
      </c>
      <c r="D225" t="inlineStr">
        <is>
          <t>NORRBOTTENS LÄN</t>
        </is>
      </c>
      <c r="E225" t="inlineStr">
        <is>
          <t>ÄLVSBYN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29176-2022</t>
        </is>
      </c>
      <c r="B226" s="1" t="n">
        <v>44750</v>
      </c>
      <c r="C226" s="1" t="n">
        <v>45626</v>
      </c>
      <c r="D226" t="inlineStr">
        <is>
          <t>NORRBOTTENS LÄN</t>
        </is>
      </c>
      <c r="E226" t="inlineStr">
        <is>
          <t>ÄLVSBYN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31322-2022</t>
        </is>
      </c>
      <c r="B227" s="1" t="n">
        <v>44774</v>
      </c>
      <c r="C227" s="1" t="n">
        <v>45626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32368-2022</t>
        </is>
      </c>
      <c r="B228" s="1" t="n">
        <v>44781</v>
      </c>
      <c r="C228" s="1" t="n">
        <v>45626</v>
      </c>
      <c r="D228" t="inlineStr">
        <is>
          <t>NORRBOTTENS LÄN</t>
        </is>
      </c>
      <c r="E228" t="inlineStr">
        <is>
          <t>ÄLVSBYN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32975-2022</t>
        </is>
      </c>
      <c r="B229" s="1" t="n">
        <v>44785</v>
      </c>
      <c r="C229" s="1" t="n">
        <v>45626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32977-2022</t>
        </is>
      </c>
      <c r="B230" s="1" t="n">
        <v>44785</v>
      </c>
      <c r="C230" s="1" t="n">
        <v>45626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33407-2022</t>
        </is>
      </c>
      <c r="B231" s="1" t="n">
        <v>44788</v>
      </c>
      <c r="C231" s="1" t="n">
        <v>45626</v>
      </c>
      <c r="D231" t="inlineStr">
        <is>
          <t>NORRBOTTENS LÄN</t>
        </is>
      </c>
      <c r="E231" t="inlineStr">
        <is>
          <t>ÄLVSBYN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33848-2022</t>
        </is>
      </c>
      <c r="B232" s="1" t="n">
        <v>44790</v>
      </c>
      <c r="C232" s="1" t="n">
        <v>45626</v>
      </c>
      <c r="D232" t="inlineStr">
        <is>
          <t>NORRBOTTENS LÄN</t>
        </is>
      </c>
      <c r="E232" t="inlineStr">
        <is>
          <t>ÄLVSBYN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34013-2022</t>
        </is>
      </c>
      <c r="B233" s="1" t="n">
        <v>44790</v>
      </c>
      <c r="C233" s="1" t="n">
        <v>45626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34012-2022</t>
        </is>
      </c>
      <c r="B234" s="1" t="n">
        <v>44791</v>
      </c>
      <c r="C234" s="1" t="n">
        <v>45626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34656-2022</t>
        </is>
      </c>
      <c r="B235" s="1" t="n">
        <v>44795</v>
      </c>
      <c r="C235" s="1" t="n">
        <v>45626</v>
      </c>
      <c r="D235" t="inlineStr">
        <is>
          <t>NORRBOTTENS LÄN</t>
        </is>
      </c>
      <c r="E235" t="inlineStr">
        <is>
          <t>ÄLVSBYN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34609-2022</t>
        </is>
      </c>
      <c r="B236" s="1" t="n">
        <v>44795</v>
      </c>
      <c r="C236" s="1" t="n">
        <v>45626</v>
      </c>
      <c r="D236" t="inlineStr">
        <is>
          <t>NORRBOTTENS LÄN</t>
        </is>
      </c>
      <c r="E236" t="inlineStr">
        <is>
          <t>ÄLVSBYN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34863-2022</t>
        </is>
      </c>
      <c r="B237" s="1" t="n">
        <v>44795</v>
      </c>
      <c r="C237" s="1" t="n">
        <v>45626</v>
      </c>
      <c r="D237" t="inlineStr">
        <is>
          <t>NORRBOTTENS LÄN</t>
        </is>
      </c>
      <c r="E237" t="inlineStr">
        <is>
          <t>ÄLVSBYN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35238-2022</t>
        </is>
      </c>
      <c r="B238" s="1" t="n">
        <v>44798</v>
      </c>
      <c r="C238" s="1" t="n">
        <v>45626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35239-2022</t>
        </is>
      </c>
      <c r="B239" s="1" t="n">
        <v>44798</v>
      </c>
      <c r="C239" s="1" t="n">
        <v>45626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37731-2022</t>
        </is>
      </c>
      <c r="B240" s="1" t="n">
        <v>44810</v>
      </c>
      <c r="C240" s="1" t="n">
        <v>45626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38506-2022</t>
        </is>
      </c>
      <c r="B241" s="1" t="n">
        <v>44813</v>
      </c>
      <c r="C241" s="1" t="n">
        <v>45626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38490-2022</t>
        </is>
      </c>
      <c r="B242" s="1" t="n">
        <v>44813</v>
      </c>
      <c r="C242" s="1" t="n">
        <v>45626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39444-2022</t>
        </is>
      </c>
      <c r="B243" s="1" t="n">
        <v>44818</v>
      </c>
      <c r="C243" s="1" t="n">
        <v>45626</v>
      </c>
      <c r="D243" t="inlineStr">
        <is>
          <t>NORRBOTTENS LÄN</t>
        </is>
      </c>
      <c r="E243" t="inlineStr">
        <is>
          <t>ÄLVSBYN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39914-2022</t>
        </is>
      </c>
      <c r="B244" s="1" t="n">
        <v>44819</v>
      </c>
      <c r="C244" s="1" t="n">
        <v>45626</v>
      </c>
      <c r="D244" t="inlineStr">
        <is>
          <t>NORRBOTTENS LÄN</t>
        </is>
      </c>
      <c r="E244" t="inlineStr">
        <is>
          <t>ÄLVSBYN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40691-2022</t>
        </is>
      </c>
      <c r="B245" s="1" t="n">
        <v>44820</v>
      </c>
      <c r="C245" s="1" t="n">
        <v>45626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40560-2022</t>
        </is>
      </c>
      <c r="B246" s="1" t="n">
        <v>44823</v>
      </c>
      <c r="C246" s="1" t="n">
        <v>45626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40525-2022</t>
        </is>
      </c>
      <c r="B247" s="1" t="n">
        <v>44823</v>
      </c>
      <c r="C247" s="1" t="n">
        <v>45626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40781-2022</t>
        </is>
      </c>
      <c r="B248" s="1" t="n">
        <v>44824</v>
      </c>
      <c r="C248" s="1" t="n">
        <v>45626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41159-2022</t>
        </is>
      </c>
      <c r="B249" s="1" t="n">
        <v>44825</v>
      </c>
      <c r="C249" s="1" t="n">
        <v>45626</v>
      </c>
      <c r="D249" t="inlineStr">
        <is>
          <t>NORRBOTTENS LÄN</t>
        </is>
      </c>
      <c r="E249" t="inlineStr">
        <is>
          <t>ÄLVSBYN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42805-2022</t>
        </is>
      </c>
      <c r="B250" s="1" t="n">
        <v>44832</v>
      </c>
      <c r="C250" s="1" t="n">
        <v>45626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43579-2022</t>
        </is>
      </c>
      <c r="B251" s="1" t="n">
        <v>44837</v>
      </c>
      <c r="C251" s="1" t="n">
        <v>45626</v>
      </c>
      <c r="D251" t="inlineStr">
        <is>
          <t>NORRBOTTENS LÄN</t>
        </is>
      </c>
      <c r="E251" t="inlineStr">
        <is>
          <t>ÄLVSBYN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45707-2022</t>
        </is>
      </c>
      <c r="B252" s="1" t="n">
        <v>44846</v>
      </c>
      <c r="C252" s="1" t="n">
        <v>45626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46308-2022</t>
        </is>
      </c>
      <c r="B253" s="1" t="n">
        <v>44847</v>
      </c>
      <c r="C253" s="1" t="n">
        <v>45626</v>
      </c>
      <c r="D253" t="inlineStr">
        <is>
          <t>NORRBOTTENS LÄN</t>
        </is>
      </c>
      <c r="E253" t="inlineStr">
        <is>
          <t>ÄLVSBYN</t>
        </is>
      </c>
      <c r="G253" t="n">
        <v>18.7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46307-2022</t>
        </is>
      </c>
      <c r="B254" s="1" t="n">
        <v>44847</v>
      </c>
      <c r="C254" s="1" t="n">
        <v>45626</v>
      </c>
      <c r="D254" t="inlineStr">
        <is>
          <t>NORRBOTTENS LÄN</t>
        </is>
      </c>
      <c r="E254" t="inlineStr">
        <is>
          <t>ÄLVSBYN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46980-2022</t>
        </is>
      </c>
      <c r="B255" s="1" t="n">
        <v>44851</v>
      </c>
      <c r="C255" s="1" t="n">
        <v>45626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47121-2022</t>
        </is>
      </c>
      <c r="B256" s="1" t="n">
        <v>44851</v>
      </c>
      <c r="C256" s="1" t="n">
        <v>45626</v>
      </c>
      <c r="D256" t="inlineStr">
        <is>
          <t>NORRBOTTENS LÄN</t>
        </is>
      </c>
      <c r="E256" t="inlineStr">
        <is>
          <t>ÄLVSBYN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46979-2022</t>
        </is>
      </c>
      <c r="B257" s="1" t="n">
        <v>44852</v>
      </c>
      <c r="C257" s="1" t="n">
        <v>45626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47427-2022</t>
        </is>
      </c>
      <c r="B258" s="1" t="n">
        <v>44853</v>
      </c>
      <c r="C258" s="1" t="n">
        <v>45626</v>
      </c>
      <c r="D258" t="inlineStr">
        <is>
          <t>NORRBOTTENS LÄN</t>
        </is>
      </c>
      <c r="E258" t="inlineStr">
        <is>
          <t>ÄLVSBYN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47417-2022</t>
        </is>
      </c>
      <c r="B259" s="1" t="n">
        <v>44853</v>
      </c>
      <c r="C259" s="1" t="n">
        <v>45626</v>
      </c>
      <c r="D259" t="inlineStr">
        <is>
          <t>NORRBOTTENS LÄN</t>
        </is>
      </c>
      <c r="E259" t="inlineStr">
        <is>
          <t>ÄLVSBYN</t>
        </is>
      </c>
      <c r="G259" t="n">
        <v>17.8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48742-2022</t>
        </is>
      </c>
      <c r="B260" s="1" t="n">
        <v>44855</v>
      </c>
      <c r="C260" s="1" t="n">
        <v>45626</v>
      </c>
      <c r="D260" t="inlineStr">
        <is>
          <t>NORRBOTTENS LÄN</t>
        </is>
      </c>
      <c r="E260" t="inlineStr">
        <is>
          <t>ÄLVSBYN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48532-2022</t>
        </is>
      </c>
      <c r="B261" s="1" t="n">
        <v>44859</v>
      </c>
      <c r="C261" s="1" t="n">
        <v>45626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49441-2022</t>
        </is>
      </c>
      <c r="B262" s="1" t="n">
        <v>44861</v>
      </c>
      <c r="C262" s="1" t="n">
        <v>45626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49767-2022</t>
        </is>
      </c>
      <c r="B263" s="1" t="n">
        <v>44862</v>
      </c>
      <c r="C263" s="1" t="n">
        <v>45626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50634-2022</t>
        </is>
      </c>
      <c r="B264" s="1" t="n">
        <v>44866</v>
      </c>
      <c r="C264" s="1" t="n">
        <v>45626</v>
      </c>
      <c r="D264" t="inlineStr">
        <is>
          <t>NORRBOTTENS LÄN</t>
        </is>
      </c>
      <c r="E264" t="inlineStr">
        <is>
          <t>ÄLVSBYN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50631-2022</t>
        </is>
      </c>
      <c r="B265" s="1" t="n">
        <v>44866</v>
      </c>
      <c r="C265" s="1" t="n">
        <v>45626</v>
      </c>
      <c r="D265" t="inlineStr">
        <is>
          <t>NORRBOTTENS LÄN</t>
        </is>
      </c>
      <c r="E265" t="inlineStr">
        <is>
          <t>ÄLVSBYN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51063-2022</t>
        </is>
      </c>
      <c r="B266" s="1" t="n">
        <v>44868</v>
      </c>
      <c r="C266" s="1" t="n">
        <v>45626</v>
      </c>
      <c r="D266" t="inlineStr">
        <is>
          <t>NORRBOTTENS LÄN</t>
        </is>
      </c>
      <c r="E266" t="inlineStr">
        <is>
          <t>ÄLVSBYN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51981-2022</t>
        </is>
      </c>
      <c r="B267" s="1" t="n">
        <v>44872</v>
      </c>
      <c r="C267" s="1" t="n">
        <v>45626</v>
      </c>
      <c r="D267" t="inlineStr">
        <is>
          <t>NORRBOTTENS LÄN</t>
        </is>
      </c>
      <c r="E267" t="inlineStr">
        <is>
          <t>ÄLVSBYN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52075-2022</t>
        </is>
      </c>
      <c r="B268" s="1" t="n">
        <v>44873</v>
      </c>
      <c r="C268" s="1" t="n">
        <v>45626</v>
      </c>
      <c r="D268" t="inlineStr">
        <is>
          <t>NORRBOTTENS LÄN</t>
        </is>
      </c>
      <c r="E268" t="inlineStr">
        <is>
          <t>ÄLVSBYN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52087-2022</t>
        </is>
      </c>
      <c r="B269" s="1" t="n">
        <v>44873</v>
      </c>
      <c r="C269" s="1" t="n">
        <v>45626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52327-2022</t>
        </is>
      </c>
      <c r="B270" s="1" t="n">
        <v>44873</v>
      </c>
      <c r="C270" s="1" t="n">
        <v>45626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53037-2022</t>
        </is>
      </c>
      <c r="B271" s="1" t="n">
        <v>44876</v>
      </c>
      <c r="C271" s="1" t="n">
        <v>45626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57233-2022</t>
        </is>
      </c>
      <c r="B272" s="1" t="n">
        <v>44895</v>
      </c>
      <c r="C272" s="1" t="n">
        <v>45626</v>
      </c>
      <c r="D272" t="inlineStr">
        <is>
          <t>NORRBOTTENS LÄN</t>
        </is>
      </c>
      <c r="E272" t="inlineStr">
        <is>
          <t>ÄLVSBYN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57214-2022</t>
        </is>
      </c>
      <c r="B273" s="1" t="n">
        <v>44895</v>
      </c>
      <c r="C273" s="1" t="n">
        <v>45626</v>
      </c>
      <c r="D273" t="inlineStr">
        <is>
          <t>NORRBOTTENS LÄN</t>
        </is>
      </c>
      <c r="E273" t="inlineStr">
        <is>
          <t>ÄLVSBYN</t>
        </is>
      </c>
      <c r="F273" t="inlineStr">
        <is>
          <t>Övriga Aktiebolag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58908-2022</t>
        </is>
      </c>
      <c r="B274" s="1" t="n">
        <v>44896</v>
      </c>
      <c r="C274" s="1" t="n">
        <v>45626</v>
      </c>
      <c r="D274" t="inlineStr">
        <is>
          <t>NORRBOTTENS LÄN</t>
        </is>
      </c>
      <c r="E274" t="inlineStr">
        <is>
          <t>ÄLVSBYN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57789-2022</t>
        </is>
      </c>
      <c r="B275" s="1" t="n">
        <v>44897</v>
      </c>
      <c r="C275" s="1" t="n">
        <v>45626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57785-2022</t>
        </is>
      </c>
      <c r="B276" s="1" t="n">
        <v>44897</v>
      </c>
      <c r="C276" s="1" t="n">
        <v>45626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60351-2022</t>
        </is>
      </c>
      <c r="B277" s="1" t="n">
        <v>44910</v>
      </c>
      <c r="C277" s="1" t="n">
        <v>45626</v>
      </c>
      <c r="D277" t="inlineStr">
        <is>
          <t>NORRBOTTENS LÄN</t>
        </is>
      </c>
      <c r="E277" t="inlineStr">
        <is>
          <t>ÄLVSBYN</t>
        </is>
      </c>
      <c r="G277" t="n">
        <v>23.4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60403-2022</t>
        </is>
      </c>
      <c r="B278" s="1" t="n">
        <v>44910</v>
      </c>
      <c r="C278" s="1" t="n">
        <v>45626</v>
      </c>
      <c r="D278" t="inlineStr">
        <is>
          <t>NORRBOTTENS LÄN</t>
        </is>
      </c>
      <c r="E278" t="inlineStr">
        <is>
          <t>ÄLVSBYN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61650-2022</t>
        </is>
      </c>
      <c r="B279" s="1" t="n">
        <v>44916</v>
      </c>
      <c r="C279" s="1" t="n">
        <v>45626</v>
      </c>
      <c r="D279" t="inlineStr">
        <is>
          <t>NORRBOTTENS LÄN</t>
        </is>
      </c>
      <c r="E279" t="inlineStr">
        <is>
          <t>ÄLVSBYN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22-2023</t>
        </is>
      </c>
      <c r="B280" s="1" t="n">
        <v>44918</v>
      </c>
      <c r="C280" s="1" t="n">
        <v>45626</v>
      </c>
      <c r="D280" t="inlineStr">
        <is>
          <t>NORRBOTTENS LÄN</t>
        </is>
      </c>
      <c r="E280" t="inlineStr">
        <is>
          <t>ÄLVSBYN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43-2023</t>
        </is>
      </c>
      <c r="B281" s="1" t="n">
        <v>44918</v>
      </c>
      <c r="C281" s="1" t="n">
        <v>45626</v>
      </c>
      <c r="D281" t="inlineStr">
        <is>
          <t>NORRBOTTENS LÄN</t>
        </is>
      </c>
      <c r="E281" t="inlineStr">
        <is>
          <t>ÄLVSBYN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2293-2023</t>
        </is>
      </c>
      <c r="B282" s="1" t="n">
        <v>44942</v>
      </c>
      <c r="C282" s="1" t="n">
        <v>45626</v>
      </c>
      <c r="D282" t="inlineStr">
        <is>
          <t>NORRBOTTENS LÄN</t>
        </is>
      </c>
      <c r="E282" t="inlineStr">
        <is>
          <t>ÄLVSBYN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2290-2023</t>
        </is>
      </c>
      <c r="B283" s="1" t="n">
        <v>44942</v>
      </c>
      <c r="C283" s="1" t="n">
        <v>45626</v>
      </c>
      <c r="D283" t="inlineStr">
        <is>
          <t>NORRBOTTENS LÄN</t>
        </is>
      </c>
      <c r="E283" t="inlineStr">
        <is>
          <t>ÄLVSBYN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2595-2023</t>
        </is>
      </c>
      <c r="B284" s="1" t="n">
        <v>44943</v>
      </c>
      <c r="C284" s="1" t="n">
        <v>45626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2678-2023</t>
        </is>
      </c>
      <c r="B285" s="1" t="n">
        <v>44944</v>
      </c>
      <c r="C285" s="1" t="n">
        <v>45626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3500-2023</t>
        </is>
      </c>
      <c r="B286" s="1" t="n">
        <v>44949</v>
      </c>
      <c r="C286" s="1" t="n">
        <v>45626</v>
      </c>
      <c r="D286" t="inlineStr">
        <is>
          <t>NORRBOTTENS LÄN</t>
        </is>
      </c>
      <c r="E286" t="inlineStr">
        <is>
          <t>ÄLVSBYN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3497-2023</t>
        </is>
      </c>
      <c r="B287" s="1" t="n">
        <v>44949</v>
      </c>
      <c r="C287" s="1" t="n">
        <v>45626</v>
      </c>
      <c r="D287" t="inlineStr">
        <is>
          <t>NORRBOTTENS LÄN</t>
        </is>
      </c>
      <c r="E287" t="inlineStr">
        <is>
          <t>ÄLVSBYN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4013-2023</t>
        </is>
      </c>
      <c r="B288" s="1" t="n">
        <v>44949</v>
      </c>
      <c r="C288" s="1" t="n">
        <v>45626</v>
      </c>
      <c r="D288" t="inlineStr">
        <is>
          <t>NORRBOTTENS LÄN</t>
        </is>
      </c>
      <c r="E288" t="inlineStr">
        <is>
          <t>ÄLVSBYN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4128-2023</t>
        </is>
      </c>
      <c r="B289" s="1" t="n">
        <v>44952</v>
      </c>
      <c r="C289" s="1" t="n">
        <v>45626</v>
      </c>
      <c r="D289" t="inlineStr">
        <is>
          <t>NORRBOTTENS LÄN</t>
        </is>
      </c>
      <c r="E289" t="inlineStr">
        <is>
          <t>ÄLVSBYN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4127-2023</t>
        </is>
      </c>
      <c r="B290" s="1" t="n">
        <v>44952</v>
      </c>
      <c r="C290" s="1" t="n">
        <v>45626</v>
      </c>
      <c r="D290" t="inlineStr">
        <is>
          <t>NORRBOTTENS LÄN</t>
        </is>
      </c>
      <c r="E290" t="inlineStr">
        <is>
          <t>ÄLVSBYN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5659-2023</t>
        </is>
      </c>
      <c r="B291" s="1" t="n">
        <v>44958</v>
      </c>
      <c r="C291" s="1" t="n">
        <v>45626</v>
      </c>
      <c r="D291" t="inlineStr">
        <is>
          <t>NORRBOTTENS LÄN</t>
        </is>
      </c>
      <c r="E291" t="inlineStr">
        <is>
          <t>ÄLVSBYN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6004-2023</t>
        </is>
      </c>
      <c r="B292" s="1" t="n">
        <v>44959</v>
      </c>
      <c r="C292" s="1" t="n">
        <v>45626</v>
      </c>
      <c r="D292" t="inlineStr">
        <is>
          <t>NORRBOTTENS LÄN</t>
        </is>
      </c>
      <c r="E292" t="inlineStr">
        <is>
          <t>ÄLVSBYN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5635-2023</t>
        </is>
      </c>
      <c r="B293" s="1" t="n">
        <v>44960</v>
      </c>
      <c r="C293" s="1" t="n">
        <v>45626</v>
      </c>
      <c r="D293" t="inlineStr">
        <is>
          <t>NORRBOTTENS LÄN</t>
        </is>
      </c>
      <c r="E293" t="inlineStr">
        <is>
          <t>ÄLVSBYN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5610-2023</t>
        </is>
      </c>
      <c r="B294" s="1" t="n">
        <v>44960</v>
      </c>
      <c r="C294" s="1" t="n">
        <v>45626</v>
      </c>
      <c r="D294" t="inlineStr">
        <is>
          <t>NORRBOTTENS LÄN</t>
        </is>
      </c>
      <c r="E294" t="inlineStr">
        <is>
          <t>ÄLVSBYN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5603-2023</t>
        </is>
      </c>
      <c r="B295" s="1" t="n">
        <v>44960</v>
      </c>
      <c r="C295" s="1" t="n">
        <v>45626</v>
      </c>
      <c r="D295" t="inlineStr">
        <is>
          <t>NORRBOTTENS LÄN</t>
        </is>
      </c>
      <c r="E295" t="inlineStr">
        <is>
          <t>ÄLVSBYN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6769-2023</t>
        </is>
      </c>
      <c r="B296" s="1" t="n">
        <v>44966</v>
      </c>
      <c r="C296" s="1" t="n">
        <v>45626</v>
      </c>
      <c r="D296" t="inlineStr">
        <is>
          <t>NORRBOTTENS LÄN</t>
        </is>
      </c>
      <c r="E296" t="inlineStr">
        <is>
          <t>ÄLVSBYN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6825-2023</t>
        </is>
      </c>
      <c r="B297" s="1" t="n">
        <v>44967</v>
      </c>
      <c r="C297" s="1" t="n">
        <v>45626</v>
      </c>
      <c r="D297" t="inlineStr">
        <is>
          <t>NORRBOTTENS LÄN</t>
        </is>
      </c>
      <c r="E297" t="inlineStr">
        <is>
          <t>ÄLVSBYN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8739-2023</t>
        </is>
      </c>
      <c r="B298" s="1" t="n">
        <v>44973</v>
      </c>
      <c r="C298" s="1" t="n">
        <v>45626</v>
      </c>
      <c r="D298" t="inlineStr">
        <is>
          <t>NORRBOTTENS LÄN</t>
        </is>
      </c>
      <c r="E298" t="inlineStr">
        <is>
          <t>ÄLVSBYN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8723-2023</t>
        </is>
      </c>
      <c r="B299" s="1" t="n">
        <v>44973</v>
      </c>
      <c r="C299" s="1" t="n">
        <v>45626</v>
      </c>
      <c r="D299" t="inlineStr">
        <is>
          <t>NORRBOTTENS LÄN</t>
        </is>
      </c>
      <c r="E299" t="inlineStr">
        <is>
          <t>ÄLVSBYN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8502-2023</t>
        </is>
      </c>
      <c r="B300" s="1" t="n">
        <v>44977</v>
      </c>
      <c r="C300" s="1" t="n">
        <v>45626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10066-2023</t>
        </is>
      </c>
      <c r="B301" s="1" t="n">
        <v>44985</v>
      </c>
      <c r="C301" s="1" t="n">
        <v>45626</v>
      </c>
      <c r="D301" t="inlineStr">
        <is>
          <t>NORRBOTTENS LÄN</t>
        </is>
      </c>
      <c r="E301" t="inlineStr">
        <is>
          <t>ÄLVSBYN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10712-2023</t>
        </is>
      </c>
      <c r="B302" s="1" t="n">
        <v>44988</v>
      </c>
      <c r="C302" s="1" t="n">
        <v>45626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10705-2023</t>
        </is>
      </c>
      <c r="B303" s="1" t="n">
        <v>44988</v>
      </c>
      <c r="C303" s="1" t="n">
        <v>45626</v>
      </c>
      <c r="D303" t="inlineStr">
        <is>
          <t>NORRBOTTENS LÄN</t>
        </is>
      </c>
      <c r="E303" t="inlineStr">
        <is>
          <t>ÄLVSBYN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11293-2023</t>
        </is>
      </c>
      <c r="B304" s="1" t="n">
        <v>44992</v>
      </c>
      <c r="C304" s="1" t="n">
        <v>45626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11835-2023</t>
        </is>
      </c>
      <c r="B305" s="1" t="n">
        <v>44994</v>
      </c>
      <c r="C305" s="1" t="n">
        <v>45626</v>
      </c>
      <c r="D305" t="inlineStr">
        <is>
          <t>NORRBOTTENS LÄN</t>
        </is>
      </c>
      <c r="E305" t="inlineStr">
        <is>
          <t>ÄLVSBYN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13173-2023</t>
        </is>
      </c>
      <c r="B306" s="1" t="n">
        <v>45002</v>
      </c>
      <c r="C306" s="1" t="n">
        <v>45626</v>
      </c>
      <c r="D306" t="inlineStr">
        <is>
          <t>NORRBOTTENS LÄN</t>
        </is>
      </c>
      <c r="E306" t="inlineStr">
        <is>
          <t>ÄLVSBYN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13204-2023</t>
        </is>
      </c>
      <c r="B307" s="1" t="n">
        <v>45002</v>
      </c>
      <c r="C307" s="1" t="n">
        <v>45626</v>
      </c>
      <c r="D307" t="inlineStr">
        <is>
          <t>NORRBOTTENS LÄN</t>
        </is>
      </c>
      <c r="E307" t="inlineStr">
        <is>
          <t>ÄLVSBYN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14436-2023</t>
        </is>
      </c>
      <c r="B308" s="1" t="n">
        <v>45012</v>
      </c>
      <c r="C308" s="1" t="n">
        <v>45626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15076-2023</t>
        </is>
      </c>
      <c r="B309" s="1" t="n">
        <v>45016</v>
      </c>
      <c r="C309" s="1" t="n">
        <v>45626</v>
      </c>
      <c r="D309" t="inlineStr">
        <is>
          <t>NORRBOTTENS LÄN</t>
        </is>
      </c>
      <c r="E309" t="inlineStr">
        <is>
          <t>ÄLVSBYN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15251-2023</t>
        </is>
      </c>
      <c r="B310" s="1" t="n">
        <v>45016</v>
      </c>
      <c r="C310" s="1" t="n">
        <v>45626</v>
      </c>
      <c r="D310" t="inlineStr">
        <is>
          <t>NORRBOTTENS LÄN</t>
        </is>
      </c>
      <c r="E310" t="inlineStr">
        <is>
          <t>ÄLVSBYN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15255-2023</t>
        </is>
      </c>
      <c r="B311" s="1" t="n">
        <v>45016</v>
      </c>
      <c r="C311" s="1" t="n">
        <v>45626</v>
      </c>
      <c r="D311" t="inlineStr">
        <is>
          <t>NORRBOTTENS LÄN</t>
        </is>
      </c>
      <c r="E311" t="inlineStr">
        <is>
          <t>ÄLVSBYN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15250-2023</t>
        </is>
      </c>
      <c r="B312" s="1" t="n">
        <v>45016</v>
      </c>
      <c r="C312" s="1" t="n">
        <v>45626</v>
      </c>
      <c r="D312" t="inlineStr">
        <is>
          <t>NORRBOTTENS LÄN</t>
        </is>
      </c>
      <c r="E312" t="inlineStr">
        <is>
          <t>ÄLVSBYN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15619-2023</t>
        </is>
      </c>
      <c r="B313" s="1" t="n">
        <v>45021</v>
      </c>
      <c r="C313" s="1" t="n">
        <v>45626</v>
      </c>
      <c r="D313" t="inlineStr">
        <is>
          <t>NORRBOTTENS LÄN</t>
        </is>
      </c>
      <c r="E313" t="inlineStr">
        <is>
          <t>ÄLVSBYN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16914-2023</t>
        </is>
      </c>
      <c r="B314" s="1" t="n">
        <v>45028</v>
      </c>
      <c r="C314" s="1" t="n">
        <v>45626</v>
      </c>
      <c r="D314" t="inlineStr">
        <is>
          <t>NORRBOTTENS LÄN</t>
        </is>
      </c>
      <c r="E314" t="inlineStr">
        <is>
          <t>ÄLVSBYN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16991-2023</t>
        </is>
      </c>
      <c r="B315" s="1" t="n">
        <v>45033</v>
      </c>
      <c r="C315" s="1" t="n">
        <v>45626</v>
      </c>
      <c r="D315" t="inlineStr">
        <is>
          <t>NORRBOTTENS LÄN</t>
        </is>
      </c>
      <c r="E315" t="inlineStr">
        <is>
          <t>ÄLVSBYN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17445-2023</t>
        </is>
      </c>
      <c r="B316" s="1" t="n">
        <v>45035</v>
      </c>
      <c r="C316" s="1" t="n">
        <v>45626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19142-2023</t>
        </is>
      </c>
      <c r="B317" s="1" t="n">
        <v>45044</v>
      </c>
      <c r="C317" s="1" t="n">
        <v>45626</v>
      </c>
      <c r="D317" t="inlineStr">
        <is>
          <t>NORRBOTTENS LÄN</t>
        </is>
      </c>
      <c r="E317" t="inlineStr">
        <is>
          <t>ÄLVSBYN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21677-2023</t>
        </is>
      </c>
      <c r="B318" s="1" t="n">
        <v>45064</v>
      </c>
      <c r="C318" s="1" t="n">
        <v>45626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21895-2023</t>
        </is>
      </c>
      <c r="B319" s="1" t="n">
        <v>45068</v>
      </c>
      <c r="C319" s="1" t="n">
        <v>45626</v>
      </c>
      <c r="D319" t="inlineStr">
        <is>
          <t>NORRBOTTENS LÄN</t>
        </is>
      </c>
      <c r="E319" t="inlineStr">
        <is>
          <t>ÄLVSBYN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22335-2023</t>
        </is>
      </c>
      <c r="B320" s="1" t="n">
        <v>45070</v>
      </c>
      <c r="C320" s="1" t="n">
        <v>45626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23278-2023</t>
        </is>
      </c>
      <c r="B321" s="1" t="n">
        <v>45076</v>
      </c>
      <c r="C321" s="1" t="n">
        <v>45626</v>
      </c>
      <c r="D321" t="inlineStr">
        <is>
          <t>NORRBOTTENS LÄN</t>
        </is>
      </c>
      <c r="E321" t="inlineStr">
        <is>
          <t>ÄLVSBYN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23280-2023</t>
        </is>
      </c>
      <c r="B322" s="1" t="n">
        <v>45076</v>
      </c>
      <c r="C322" s="1" t="n">
        <v>45626</v>
      </c>
      <c r="D322" t="inlineStr">
        <is>
          <t>NORRBOTTENS LÄN</t>
        </is>
      </c>
      <c r="E322" t="inlineStr">
        <is>
          <t>ÄLVSBYN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23178-2023</t>
        </is>
      </c>
      <c r="B323" s="1" t="n">
        <v>45075</v>
      </c>
      <c r="C323" s="1" t="n">
        <v>45626</v>
      </c>
      <c r="D323" t="inlineStr">
        <is>
          <t>NORRBOTTENS LÄN</t>
        </is>
      </c>
      <c r="E323" t="inlineStr">
        <is>
          <t>ÄLVSBYN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23279-2023</t>
        </is>
      </c>
      <c r="B324" s="1" t="n">
        <v>45076</v>
      </c>
      <c r="C324" s="1" t="n">
        <v>45626</v>
      </c>
      <c r="D324" t="inlineStr">
        <is>
          <t>NORRBOTTENS LÄN</t>
        </is>
      </c>
      <c r="E324" t="inlineStr">
        <is>
          <t>ÄLVSBYN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23522-2023</t>
        </is>
      </c>
      <c r="B325" s="1" t="n">
        <v>45077</v>
      </c>
      <c r="C325" s="1" t="n">
        <v>45626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25158-2023</t>
        </is>
      </c>
      <c r="B326" s="1" t="n">
        <v>45078</v>
      </c>
      <c r="C326" s="1" t="n">
        <v>45626</v>
      </c>
      <c r="D326" t="inlineStr">
        <is>
          <t>NORRBOTTENS LÄN</t>
        </is>
      </c>
      <c r="E326" t="inlineStr">
        <is>
          <t>ÄLVSBYN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25102-2023</t>
        </is>
      </c>
      <c r="B327" s="1" t="n">
        <v>45078</v>
      </c>
      <c r="C327" s="1" t="n">
        <v>45626</v>
      </c>
      <c r="D327" t="inlineStr">
        <is>
          <t>NORRBOTTENS LÄN</t>
        </is>
      </c>
      <c r="E327" t="inlineStr">
        <is>
          <t>ÄLVSBYN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24922-2023</t>
        </is>
      </c>
      <c r="B328" s="1" t="n">
        <v>45078</v>
      </c>
      <c r="C328" s="1" t="n">
        <v>45626</v>
      </c>
      <c r="D328" t="inlineStr">
        <is>
          <t>NORRBOTTENS LÄN</t>
        </is>
      </c>
      <c r="E328" t="inlineStr">
        <is>
          <t>ÄLVSBYN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24125-2023</t>
        </is>
      </c>
      <c r="B329" s="1" t="n">
        <v>45079</v>
      </c>
      <c r="C329" s="1" t="n">
        <v>45626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24274-2023</t>
        </is>
      </c>
      <c r="B330" s="1" t="n">
        <v>45079</v>
      </c>
      <c r="C330" s="1" t="n">
        <v>45626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24737-2023</t>
        </is>
      </c>
      <c r="B331" s="1" t="n">
        <v>45084</v>
      </c>
      <c r="C331" s="1" t="n">
        <v>45626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25212-2023</t>
        </is>
      </c>
      <c r="B332" s="1" t="n">
        <v>45086</v>
      </c>
      <c r="C332" s="1" t="n">
        <v>45626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25222-2023</t>
        </is>
      </c>
      <c r="B333" s="1" t="n">
        <v>45086</v>
      </c>
      <c r="C333" s="1" t="n">
        <v>45626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25137-2023</t>
        </is>
      </c>
      <c r="B334" s="1" t="n">
        <v>45086</v>
      </c>
      <c r="C334" s="1" t="n">
        <v>45626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25663-2023</t>
        </is>
      </c>
      <c r="B335" s="1" t="n">
        <v>45090</v>
      </c>
      <c r="C335" s="1" t="n">
        <v>45626</v>
      </c>
      <c r="D335" t="inlineStr">
        <is>
          <t>NORRBOTTENS LÄN</t>
        </is>
      </c>
      <c r="E335" t="inlineStr">
        <is>
          <t>ÄLVSBYN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25691-2023</t>
        </is>
      </c>
      <c r="B336" s="1" t="n">
        <v>45090</v>
      </c>
      <c r="C336" s="1" t="n">
        <v>45626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25662-2023</t>
        </is>
      </c>
      <c r="B337" s="1" t="n">
        <v>45090</v>
      </c>
      <c r="C337" s="1" t="n">
        <v>45626</v>
      </c>
      <c r="D337" t="inlineStr">
        <is>
          <t>NORRBOTTENS LÄN</t>
        </is>
      </c>
      <c r="E337" t="inlineStr">
        <is>
          <t>ÄLVSBYN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25890-2023</t>
        </is>
      </c>
      <c r="B338" s="1" t="n">
        <v>45090</v>
      </c>
      <c r="C338" s="1" t="n">
        <v>45626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25879-2023</t>
        </is>
      </c>
      <c r="B339" s="1" t="n">
        <v>45090</v>
      </c>
      <c r="C339" s="1" t="n">
        <v>45626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26240-2023</t>
        </is>
      </c>
      <c r="B340" s="1" t="n">
        <v>45091</v>
      </c>
      <c r="C340" s="1" t="n">
        <v>45626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26164-2023</t>
        </is>
      </c>
      <c r="B341" s="1" t="n">
        <v>45091</v>
      </c>
      <c r="C341" s="1" t="n">
        <v>45626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29638-2023</t>
        </is>
      </c>
      <c r="B342" s="1" t="n">
        <v>45098</v>
      </c>
      <c r="C342" s="1" t="n">
        <v>45626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28094-2023</t>
        </is>
      </c>
      <c r="B343" s="1" t="n">
        <v>45099</v>
      </c>
      <c r="C343" s="1" t="n">
        <v>45626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28354-2023</t>
        </is>
      </c>
      <c r="B344" s="1" t="n">
        <v>45100</v>
      </c>
      <c r="C344" s="1" t="n">
        <v>45626</v>
      </c>
      <c r="D344" t="inlineStr">
        <is>
          <t>NORRBOTTENS LÄN</t>
        </is>
      </c>
      <c r="E344" t="inlineStr">
        <is>
          <t>ÄLVSBYN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28569-2023</t>
        </is>
      </c>
      <c r="B345" s="1" t="n">
        <v>45103</v>
      </c>
      <c r="C345" s="1" t="n">
        <v>45626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28757-2023</t>
        </is>
      </c>
      <c r="B346" s="1" t="n">
        <v>45103</v>
      </c>
      <c r="C346" s="1" t="n">
        <v>45626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28755-2023</t>
        </is>
      </c>
      <c r="B347" s="1" t="n">
        <v>45104</v>
      </c>
      <c r="C347" s="1" t="n">
        <v>45626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28583-2023</t>
        </is>
      </c>
      <c r="B348" s="1" t="n">
        <v>45103</v>
      </c>
      <c r="C348" s="1" t="n">
        <v>45626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28756-2023</t>
        </is>
      </c>
      <c r="B349" s="1" t="n">
        <v>45104</v>
      </c>
      <c r="C349" s="1" t="n">
        <v>45626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29655-2023</t>
        </is>
      </c>
      <c r="B350" s="1" t="n">
        <v>45107</v>
      </c>
      <c r="C350" s="1" t="n">
        <v>45626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29654-2023</t>
        </is>
      </c>
      <c r="B351" s="1" t="n">
        <v>45107</v>
      </c>
      <c r="C351" s="1" t="n">
        <v>45626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29649-2023</t>
        </is>
      </c>
      <c r="B352" s="1" t="n">
        <v>45107</v>
      </c>
      <c r="C352" s="1" t="n">
        <v>45626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29653-2023</t>
        </is>
      </c>
      <c r="B353" s="1" t="n">
        <v>45107</v>
      </c>
      <c r="C353" s="1" t="n">
        <v>45626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29652-2023</t>
        </is>
      </c>
      <c r="B354" s="1" t="n">
        <v>45107</v>
      </c>
      <c r="C354" s="1" t="n">
        <v>45626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29882-2023</t>
        </is>
      </c>
      <c r="B355" s="1" t="n">
        <v>45107</v>
      </c>
      <c r="C355" s="1" t="n">
        <v>45626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29886-2023</t>
        </is>
      </c>
      <c r="B356" s="1" t="n">
        <v>45107</v>
      </c>
      <c r="C356" s="1" t="n">
        <v>45626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31056-2023</t>
        </is>
      </c>
      <c r="B357" s="1" t="n">
        <v>45113</v>
      </c>
      <c r="C357" s="1" t="n">
        <v>45626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31051-2023</t>
        </is>
      </c>
      <c r="B358" s="1" t="n">
        <v>45113</v>
      </c>
      <c r="C358" s="1" t="n">
        <v>45626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24.7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31216-2023</t>
        </is>
      </c>
      <c r="B359" s="1" t="n">
        <v>45114</v>
      </c>
      <c r="C359" s="1" t="n">
        <v>45626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31220-2023</t>
        </is>
      </c>
      <c r="B360" s="1" t="n">
        <v>45114</v>
      </c>
      <c r="C360" s="1" t="n">
        <v>45626</v>
      </c>
      <c r="D360" t="inlineStr">
        <is>
          <t>NORRBOTTENS LÄN</t>
        </is>
      </c>
      <c r="E360" t="inlineStr">
        <is>
          <t>ÄLVSBYN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31219-2023</t>
        </is>
      </c>
      <c r="B361" s="1" t="n">
        <v>45114</v>
      </c>
      <c r="C361" s="1" t="n">
        <v>45626</v>
      </c>
      <c r="D361" t="inlineStr">
        <is>
          <t>NORRBOTTENS LÄN</t>
        </is>
      </c>
      <c r="E361" t="inlineStr">
        <is>
          <t>ÄLVSBYN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32445-2023</t>
        </is>
      </c>
      <c r="B362" s="1" t="n">
        <v>45120</v>
      </c>
      <c r="C362" s="1" t="n">
        <v>45626</v>
      </c>
      <c r="D362" t="inlineStr">
        <is>
          <t>NORRBOTTENS LÄN</t>
        </is>
      </c>
      <c r="E362" t="inlineStr">
        <is>
          <t>ÄLVSBYN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32963-2023</t>
        </is>
      </c>
      <c r="B363" s="1" t="n">
        <v>45125</v>
      </c>
      <c r="C363" s="1" t="n">
        <v>45626</v>
      </c>
      <c r="D363" t="inlineStr">
        <is>
          <t>NORRBOTTENS LÄN</t>
        </is>
      </c>
      <c r="E363" t="inlineStr">
        <is>
          <t>ÄLVSBYN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32956-2023</t>
        </is>
      </c>
      <c r="B364" s="1" t="n">
        <v>45125</v>
      </c>
      <c r="C364" s="1" t="n">
        <v>45626</v>
      </c>
      <c r="D364" t="inlineStr">
        <is>
          <t>NORRBOTTENS LÄN</t>
        </is>
      </c>
      <c r="E364" t="inlineStr">
        <is>
          <t>ÄLVSBYN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32966-2023</t>
        </is>
      </c>
      <c r="B365" s="1" t="n">
        <v>45125</v>
      </c>
      <c r="C365" s="1" t="n">
        <v>45626</v>
      </c>
      <c r="D365" t="inlineStr">
        <is>
          <t>NORRBOTTENS LÄN</t>
        </is>
      </c>
      <c r="E365" t="inlineStr">
        <is>
          <t>ÄLVSBYN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35508-2023</t>
        </is>
      </c>
      <c r="B366" s="1" t="n">
        <v>45147</v>
      </c>
      <c r="C366" s="1" t="n">
        <v>45626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36499-2023</t>
        </is>
      </c>
      <c r="B367" s="1" t="n">
        <v>45153</v>
      </c>
      <c r="C367" s="1" t="n">
        <v>45626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36500-2023</t>
        </is>
      </c>
      <c r="B368" s="1" t="n">
        <v>45153</v>
      </c>
      <c r="C368" s="1" t="n">
        <v>45626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36485-2023</t>
        </is>
      </c>
      <c r="B369" s="1" t="n">
        <v>45152</v>
      </c>
      <c r="C369" s="1" t="n">
        <v>45626</v>
      </c>
      <c r="D369" t="inlineStr">
        <is>
          <t>NORRBOTTENS LÄN</t>
        </is>
      </c>
      <c r="E369" t="inlineStr">
        <is>
          <t>ÄLVSBYN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36501-2023</t>
        </is>
      </c>
      <c r="B370" s="1" t="n">
        <v>45153</v>
      </c>
      <c r="C370" s="1" t="n">
        <v>45626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36820-2023</t>
        </is>
      </c>
      <c r="B371" s="1" t="n">
        <v>45154</v>
      </c>
      <c r="C371" s="1" t="n">
        <v>45626</v>
      </c>
      <c r="D371" t="inlineStr">
        <is>
          <t>NORRBOTTENS LÄN</t>
        </is>
      </c>
      <c r="E371" t="inlineStr">
        <is>
          <t>ÄLVSBYN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37720-2023</t>
        </is>
      </c>
      <c r="B372" s="1" t="n">
        <v>45159</v>
      </c>
      <c r="C372" s="1" t="n">
        <v>45626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38003-2023</t>
        </is>
      </c>
      <c r="B373" s="1" t="n">
        <v>45159</v>
      </c>
      <c r="C373" s="1" t="n">
        <v>45626</v>
      </c>
      <c r="D373" t="inlineStr">
        <is>
          <t>NORRBOTTENS LÄN</t>
        </is>
      </c>
      <c r="E373" t="inlineStr">
        <is>
          <t>ÄLVSBYN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37961-2023</t>
        </is>
      </c>
      <c r="B374" s="1" t="n">
        <v>45159</v>
      </c>
      <c r="C374" s="1" t="n">
        <v>45626</v>
      </c>
      <c r="D374" t="inlineStr">
        <is>
          <t>NORRBOTTENS LÄN</t>
        </is>
      </c>
      <c r="E374" t="inlineStr">
        <is>
          <t>ÄLVSBYN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37984-2023</t>
        </is>
      </c>
      <c r="B375" s="1" t="n">
        <v>45159</v>
      </c>
      <c r="C375" s="1" t="n">
        <v>45626</v>
      </c>
      <c r="D375" t="inlineStr">
        <is>
          <t>NORRBOTTENS LÄN</t>
        </is>
      </c>
      <c r="E375" t="inlineStr">
        <is>
          <t>ÄLVSBYN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37977-2023</t>
        </is>
      </c>
      <c r="B376" s="1" t="n">
        <v>45159</v>
      </c>
      <c r="C376" s="1" t="n">
        <v>45626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39005-2023</t>
        </is>
      </c>
      <c r="B377" s="1" t="n">
        <v>45162</v>
      </c>
      <c r="C377" s="1" t="n">
        <v>45626</v>
      </c>
      <c r="D377" t="inlineStr">
        <is>
          <t>NORRBOTTENS LÄN</t>
        </is>
      </c>
      <c r="E377" t="inlineStr">
        <is>
          <t>ÄLVSBYN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39378-2023</t>
        </is>
      </c>
      <c r="B378" s="1" t="n">
        <v>45166</v>
      </c>
      <c r="C378" s="1" t="n">
        <v>45626</v>
      </c>
      <c r="D378" t="inlineStr">
        <is>
          <t>NORRBOTTENS LÄN</t>
        </is>
      </c>
      <c r="E378" t="inlineStr">
        <is>
          <t>ÄLVSBYN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39551-2023</t>
        </is>
      </c>
      <c r="B379" s="1" t="n">
        <v>45167</v>
      </c>
      <c r="C379" s="1" t="n">
        <v>45626</v>
      </c>
      <c r="D379" t="inlineStr">
        <is>
          <t>NORRBOTTENS LÄN</t>
        </is>
      </c>
      <c r="E379" t="inlineStr">
        <is>
          <t>ÄLVSBYN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41467-2023</t>
        </is>
      </c>
      <c r="B380" s="1" t="n">
        <v>45175</v>
      </c>
      <c r="C380" s="1" t="n">
        <v>45626</v>
      </c>
      <c r="D380" t="inlineStr">
        <is>
          <t>NORRBOTTENS LÄN</t>
        </is>
      </c>
      <c r="E380" t="inlineStr">
        <is>
          <t>ÄLVSBYN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41813-2023</t>
        </is>
      </c>
      <c r="B381" s="1" t="n">
        <v>45176</v>
      </c>
      <c r="C381" s="1" t="n">
        <v>45626</v>
      </c>
      <c r="D381" t="inlineStr">
        <is>
          <t>NORRBOTTENS LÄN</t>
        </is>
      </c>
      <c r="E381" t="inlineStr">
        <is>
          <t>ÄLVSBYN</t>
        </is>
      </c>
      <c r="F381" t="inlineStr">
        <is>
          <t>Övriga Aktiebolag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42542-2023</t>
        </is>
      </c>
      <c r="B382" s="1" t="n">
        <v>45181</v>
      </c>
      <c r="C382" s="1" t="n">
        <v>45626</v>
      </c>
      <c r="D382" t="inlineStr">
        <is>
          <t>NORRBOTTENS LÄN</t>
        </is>
      </c>
      <c r="E382" t="inlineStr">
        <is>
          <t>ÄLVSBYN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42553-2023</t>
        </is>
      </c>
      <c r="B383" s="1" t="n">
        <v>45181</v>
      </c>
      <c r="C383" s="1" t="n">
        <v>45626</v>
      </c>
      <c r="D383" t="inlineStr">
        <is>
          <t>NORRBOTTENS LÄN</t>
        </is>
      </c>
      <c r="E383" t="inlineStr">
        <is>
          <t>ÄLVSBYN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43114-2023</t>
        </is>
      </c>
      <c r="B384" s="1" t="n">
        <v>45182</v>
      </c>
      <c r="C384" s="1" t="n">
        <v>45626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43118-2023</t>
        </is>
      </c>
      <c r="B385" s="1" t="n">
        <v>45183</v>
      </c>
      <c r="C385" s="1" t="n">
        <v>45626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43115-2023</t>
        </is>
      </c>
      <c r="B386" s="1" t="n">
        <v>45182</v>
      </c>
      <c r="C386" s="1" t="n">
        <v>45626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43116-2023</t>
        </is>
      </c>
      <c r="B387" s="1" t="n">
        <v>45183</v>
      </c>
      <c r="C387" s="1" t="n">
        <v>45626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43117-2023</t>
        </is>
      </c>
      <c r="B388" s="1" t="n">
        <v>45183</v>
      </c>
      <c r="C388" s="1" t="n">
        <v>45626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44964-2023</t>
        </is>
      </c>
      <c r="B389" s="1" t="n">
        <v>45190</v>
      </c>
      <c r="C389" s="1" t="n">
        <v>45626</v>
      </c>
      <c r="D389" t="inlineStr">
        <is>
          <t>NORRBOTTENS LÄN</t>
        </is>
      </c>
      <c r="E389" t="inlineStr">
        <is>
          <t>ÄLVSBYN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45136-2023</t>
        </is>
      </c>
      <c r="B390" s="1" t="n">
        <v>45191</v>
      </c>
      <c r="C390" s="1" t="n">
        <v>45626</v>
      </c>
      <c r="D390" t="inlineStr">
        <is>
          <t>NORRBOTTENS LÄN</t>
        </is>
      </c>
      <c r="E390" t="inlineStr">
        <is>
          <t>ÄLVSBYN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45135-2023</t>
        </is>
      </c>
      <c r="B391" s="1" t="n">
        <v>45191</v>
      </c>
      <c r="C391" s="1" t="n">
        <v>45626</v>
      </c>
      <c r="D391" t="inlineStr">
        <is>
          <t>NORRBOTTENS LÄN</t>
        </is>
      </c>
      <c r="E391" t="inlineStr">
        <is>
          <t>ÄLVSBYN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45424-2023</t>
        </is>
      </c>
      <c r="B392" s="1" t="n">
        <v>45194</v>
      </c>
      <c r="C392" s="1" t="n">
        <v>45626</v>
      </c>
      <c r="D392" t="inlineStr">
        <is>
          <t>NORRBOTTENS LÄN</t>
        </is>
      </c>
      <c r="E392" t="inlineStr">
        <is>
          <t>ÄLVSBYN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46404-2023</t>
        </is>
      </c>
      <c r="B393" s="1" t="n">
        <v>45194</v>
      </c>
      <c r="C393" s="1" t="n">
        <v>45626</v>
      </c>
      <c r="D393" t="inlineStr">
        <is>
          <t>NORRBOTTENS LÄN</t>
        </is>
      </c>
      <c r="E393" t="inlineStr">
        <is>
          <t>ÄLVSBYN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45417-2023</t>
        </is>
      </c>
      <c r="B394" s="1" t="n">
        <v>45194</v>
      </c>
      <c r="C394" s="1" t="n">
        <v>45626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46406-2023</t>
        </is>
      </c>
      <c r="B395" s="1" t="n">
        <v>45194</v>
      </c>
      <c r="C395" s="1" t="n">
        <v>45626</v>
      </c>
      <c r="D395" t="inlineStr">
        <is>
          <t>NORRBOTTENS LÄN</t>
        </is>
      </c>
      <c r="E395" t="inlineStr">
        <is>
          <t>ÄLVSBYN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47437-2023</t>
        </is>
      </c>
      <c r="B396" s="1" t="n">
        <v>45197</v>
      </c>
      <c r="C396" s="1" t="n">
        <v>45626</v>
      </c>
      <c r="D396" t="inlineStr">
        <is>
          <t>NORRBOTTENS LÄN</t>
        </is>
      </c>
      <c r="E396" t="inlineStr">
        <is>
          <t>ÄLVSBYN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47441-2023</t>
        </is>
      </c>
      <c r="B397" s="1" t="n">
        <v>45197</v>
      </c>
      <c r="C397" s="1" t="n">
        <v>45626</v>
      </c>
      <c r="D397" t="inlineStr">
        <is>
          <t>NORRBOTTENS LÄN</t>
        </is>
      </c>
      <c r="E397" t="inlineStr">
        <is>
          <t>ÄLVSBYN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48362-2023</t>
        </is>
      </c>
      <c r="B398" s="1" t="n">
        <v>45205</v>
      </c>
      <c r="C398" s="1" t="n">
        <v>45626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49568-2023</t>
        </is>
      </c>
      <c r="B399" s="1" t="n">
        <v>45205</v>
      </c>
      <c r="C399" s="1" t="n">
        <v>45626</v>
      </c>
      <c r="D399" t="inlineStr">
        <is>
          <t>NORRBOTTENS LÄN</t>
        </is>
      </c>
      <c r="E399" t="inlineStr">
        <is>
          <t>ÄLVSBYN</t>
        </is>
      </c>
      <c r="G399" t="n">
        <v>15.1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49041-2023</t>
        </is>
      </c>
      <c r="B400" s="1" t="n">
        <v>45210</v>
      </c>
      <c r="C400" s="1" t="n">
        <v>45626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49402-2023</t>
        </is>
      </c>
      <c r="B401" s="1" t="n">
        <v>45211</v>
      </c>
      <c r="C401" s="1" t="n">
        <v>45626</v>
      </c>
      <c r="D401" t="inlineStr">
        <is>
          <t>NORRBOTTENS LÄN</t>
        </is>
      </c>
      <c r="E401" t="inlineStr">
        <is>
          <t>ÄLVSBYN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49632-2023</t>
        </is>
      </c>
      <c r="B402" s="1" t="n">
        <v>45212</v>
      </c>
      <c r="C402" s="1" t="n">
        <v>45626</v>
      </c>
      <c r="D402" t="inlineStr">
        <is>
          <t>NORRBOTTENS LÄN</t>
        </is>
      </c>
      <c r="E402" t="inlineStr">
        <is>
          <t>ÄLVSBYN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50212-2023</t>
        </is>
      </c>
      <c r="B403" s="1" t="n">
        <v>45216</v>
      </c>
      <c r="C403" s="1" t="n">
        <v>45626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50478-2023</t>
        </is>
      </c>
      <c r="B404" s="1" t="n">
        <v>45217</v>
      </c>
      <c r="C404" s="1" t="n">
        <v>45626</v>
      </c>
      <c r="D404" t="inlineStr">
        <is>
          <t>NORRBOTTENS LÄN</t>
        </is>
      </c>
      <c r="E404" t="inlineStr">
        <is>
          <t>ÄLVSBYN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50384-2023</t>
        </is>
      </c>
      <c r="B405" s="1" t="n">
        <v>45216</v>
      </c>
      <c r="C405" s="1" t="n">
        <v>45626</v>
      </c>
      <c r="D405" t="inlineStr">
        <is>
          <t>NORRBOTTENS LÄN</t>
        </is>
      </c>
      <c r="E405" t="inlineStr">
        <is>
          <t>ÄLVSBYN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50509-2023</t>
        </is>
      </c>
      <c r="B406" s="1" t="n">
        <v>45216</v>
      </c>
      <c r="C406" s="1" t="n">
        <v>45626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50481-2023</t>
        </is>
      </c>
      <c r="B407" s="1" t="n">
        <v>45216</v>
      </c>
      <c r="C407" s="1" t="n">
        <v>45626</v>
      </c>
      <c r="D407" t="inlineStr">
        <is>
          <t>NORRBOTTENS LÄN</t>
        </is>
      </c>
      <c r="E407" t="inlineStr">
        <is>
          <t>ÄLVSBYN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50479-2023</t>
        </is>
      </c>
      <c r="B408" s="1" t="n">
        <v>45216</v>
      </c>
      <c r="C408" s="1" t="n">
        <v>45626</v>
      </c>
      <c r="D408" t="inlineStr">
        <is>
          <t>NORRBOTTENS LÄN</t>
        </is>
      </c>
      <c r="E408" t="inlineStr">
        <is>
          <t>ÄLVSBYN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50375-2023</t>
        </is>
      </c>
      <c r="B409" s="1" t="n">
        <v>45216</v>
      </c>
      <c r="C409" s="1" t="n">
        <v>45626</v>
      </c>
      <c r="D409" t="inlineStr">
        <is>
          <t>NORRBOTTENS LÄN</t>
        </is>
      </c>
      <c r="E409" t="inlineStr">
        <is>
          <t>ÄLVSBYN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50480-2023</t>
        </is>
      </c>
      <c r="B410" s="1" t="n">
        <v>45216</v>
      </c>
      <c r="C410" s="1" t="n">
        <v>45626</v>
      </c>
      <c r="D410" t="inlineStr">
        <is>
          <t>NORRBOTTENS LÄN</t>
        </is>
      </c>
      <c r="E410" t="inlineStr">
        <is>
          <t>ÄLVSBYN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50319-2023</t>
        </is>
      </c>
      <c r="B411" s="1" t="n">
        <v>45216</v>
      </c>
      <c r="C411" s="1" t="n">
        <v>45626</v>
      </c>
      <c r="D411" t="inlineStr">
        <is>
          <t>NORRBOTTENS LÄN</t>
        </is>
      </c>
      <c r="E411" t="inlineStr">
        <is>
          <t>ÄLVSBYN</t>
        </is>
      </c>
      <c r="G411" t="n">
        <v>21.9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51457-2023</t>
        </is>
      </c>
      <c r="B412" s="1" t="n">
        <v>45220</v>
      </c>
      <c r="C412" s="1" t="n">
        <v>45626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51456-2023</t>
        </is>
      </c>
      <c r="B413" s="1" t="n">
        <v>45220</v>
      </c>
      <c r="C413" s="1" t="n">
        <v>45626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51458-2023</t>
        </is>
      </c>
      <c r="B414" s="1" t="n">
        <v>45220</v>
      </c>
      <c r="C414" s="1" t="n">
        <v>45626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51793-2023</t>
        </is>
      </c>
      <c r="B415" s="1" t="n">
        <v>45223</v>
      </c>
      <c r="C415" s="1" t="n">
        <v>45626</v>
      </c>
      <c r="D415" t="inlineStr">
        <is>
          <t>NORRBOTTENS LÄN</t>
        </is>
      </c>
      <c r="E415" t="inlineStr">
        <is>
          <t>ÄLVSBYN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51794-2023</t>
        </is>
      </c>
      <c r="B416" s="1" t="n">
        <v>45223</v>
      </c>
      <c r="C416" s="1" t="n">
        <v>45626</v>
      </c>
      <c r="D416" t="inlineStr">
        <is>
          <t>NORRBOTTENS LÄN</t>
        </is>
      </c>
      <c r="E416" t="inlineStr">
        <is>
          <t>ÄLVSBYN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52397-2023</t>
        </is>
      </c>
      <c r="B417" s="1" t="n">
        <v>45224</v>
      </c>
      <c r="C417" s="1" t="n">
        <v>45626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52409-2023</t>
        </is>
      </c>
      <c r="B418" s="1" t="n">
        <v>45225</v>
      </c>
      <c r="C418" s="1" t="n">
        <v>45626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52407-2023</t>
        </is>
      </c>
      <c r="B419" s="1" t="n">
        <v>45224</v>
      </c>
      <c r="C419" s="1" t="n">
        <v>45626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54317-2023</t>
        </is>
      </c>
      <c r="B420" s="1" t="n">
        <v>45232</v>
      </c>
      <c r="C420" s="1" t="n">
        <v>45626</v>
      </c>
      <c r="D420" t="inlineStr">
        <is>
          <t>NORRBOTTENS LÄN</t>
        </is>
      </c>
      <c r="E420" t="inlineStr">
        <is>
          <t>ÄLVSBYN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54975-2023</t>
        </is>
      </c>
      <c r="B421" s="1" t="n">
        <v>45236</v>
      </c>
      <c r="C421" s="1" t="n">
        <v>45626</v>
      </c>
      <c r="D421" t="inlineStr">
        <is>
          <t>NORRBOTTENS LÄN</t>
        </is>
      </c>
      <c r="E421" t="inlineStr">
        <is>
          <t>ÄLVSBYN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57240-2023</t>
        </is>
      </c>
      <c r="B422" s="1" t="n">
        <v>45239</v>
      </c>
      <c r="C422" s="1" t="n">
        <v>45626</v>
      </c>
      <c r="D422" t="inlineStr">
        <is>
          <t>NORRBOTTENS LÄN</t>
        </is>
      </c>
      <c r="E422" t="inlineStr">
        <is>
          <t>ÄLVSBYN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57255-2023</t>
        </is>
      </c>
      <c r="B423" s="1" t="n">
        <v>45239</v>
      </c>
      <c r="C423" s="1" t="n">
        <v>45626</v>
      </c>
      <c r="D423" t="inlineStr">
        <is>
          <t>NORRBOTTENS LÄN</t>
        </is>
      </c>
      <c r="E423" t="inlineStr">
        <is>
          <t>ÄLVSBYN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57288-2023</t>
        </is>
      </c>
      <c r="B424" s="1" t="n">
        <v>45239</v>
      </c>
      <c r="C424" s="1" t="n">
        <v>45626</v>
      </c>
      <c r="D424" t="inlineStr">
        <is>
          <t>NORRBOTTENS LÄN</t>
        </is>
      </c>
      <c r="E424" t="inlineStr">
        <is>
          <t>ÄLVSBYN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56849-2023</t>
        </is>
      </c>
      <c r="B425" s="1" t="n">
        <v>45244</v>
      </c>
      <c r="C425" s="1" t="n">
        <v>45626</v>
      </c>
      <c r="D425" t="inlineStr">
        <is>
          <t>NORRBOTTENS LÄN</t>
        </is>
      </c>
      <c r="E425" t="inlineStr">
        <is>
          <t>ÄLVSBYN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57827-2023</t>
        </is>
      </c>
      <c r="B426" s="1" t="n">
        <v>45244</v>
      </c>
      <c r="C426" s="1" t="n">
        <v>45626</v>
      </c>
      <c r="D426" t="inlineStr">
        <is>
          <t>NORRBOTTENS LÄN</t>
        </is>
      </c>
      <c r="E426" t="inlineStr">
        <is>
          <t>ÄLVSBYN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57834-2023</t>
        </is>
      </c>
      <c r="B427" s="1" t="n">
        <v>45244</v>
      </c>
      <c r="C427" s="1" t="n">
        <v>45626</v>
      </c>
      <c r="D427" t="inlineStr">
        <is>
          <t>NORRBOTTENS LÄN</t>
        </is>
      </c>
      <c r="E427" t="inlineStr">
        <is>
          <t>ÄLVSBYN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57100-2023</t>
        </is>
      </c>
      <c r="B428" s="1" t="n">
        <v>45245</v>
      </c>
      <c r="C428" s="1" t="n">
        <v>45626</v>
      </c>
      <c r="D428" t="inlineStr">
        <is>
          <t>NORRBOTTENS LÄN</t>
        </is>
      </c>
      <c r="E428" t="inlineStr">
        <is>
          <t>ÄLVSBYN</t>
        </is>
      </c>
      <c r="F428" t="inlineStr">
        <is>
          <t>Övriga Aktiebolag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58476-2023</t>
        </is>
      </c>
      <c r="B429" s="1" t="n">
        <v>45246</v>
      </c>
      <c r="C429" s="1" t="n">
        <v>45626</v>
      </c>
      <c r="D429" t="inlineStr">
        <is>
          <t>NORRBOTTENS LÄN</t>
        </is>
      </c>
      <c r="E429" t="inlineStr">
        <is>
          <t>ÄLVSBYN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58450-2023</t>
        </is>
      </c>
      <c r="B430" s="1" t="n">
        <v>45250</v>
      </c>
      <c r="C430" s="1" t="n">
        <v>45626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58448-2023</t>
        </is>
      </c>
      <c r="B431" s="1" t="n">
        <v>45250</v>
      </c>
      <c r="C431" s="1" t="n">
        <v>45626</v>
      </c>
      <c r="D431" t="inlineStr">
        <is>
          <t>NORRBOTTENS LÄN</t>
        </is>
      </c>
      <c r="E431" t="inlineStr">
        <is>
          <t>ÄLVSBYN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58447-2023</t>
        </is>
      </c>
      <c r="B432" s="1" t="n">
        <v>45250</v>
      </c>
      <c r="C432" s="1" t="n">
        <v>45626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58505-2023</t>
        </is>
      </c>
      <c r="B433" s="1" t="n">
        <v>45251</v>
      </c>
      <c r="C433" s="1" t="n">
        <v>45626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58515-2023</t>
        </is>
      </c>
      <c r="B434" s="1" t="n">
        <v>45251</v>
      </c>
      <c r="C434" s="1" t="n">
        <v>45626</v>
      </c>
      <c r="D434" t="inlineStr">
        <is>
          <t>NORRBOTTENS LÄN</t>
        </is>
      </c>
      <c r="E434" t="inlineStr">
        <is>
          <t>ÄLVSBYN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58919-2023</t>
        </is>
      </c>
      <c r="B435" s="1" t="n">
        <v>45252</v>
      </c>
      <c r="C435" s="1" t="n">
        <v>45626</v>
      </c>
      <c r="D435" t="inlineStr">
        <is>
          <t>NORRBOTTENS LÄN</t>
        </is>
      </c>
      <c r="E435" t="inlineStr">
        <is>
          <t>ÄLVSBYN</t>
        </is>
      </c>
      <c r="G435" t="n">
        <v>25.1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59543-2023</t>
        </is>
      </c>
      <c r="B436" s="1" t="n">
        <v>45254</v>
      </c>
      <c r="C436" s="1" t="n">
        <v>45626</v>
      </c>
      <c r="D436" t="inlineStr">
        <is>
          <t>NORRBOTTENS LÄN</t>
        </is>
      </c>
      <c r="E436" t="inlineStr">
        <is>
          <t>ÄLVSBYN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60322-2023</t>
        </is>
      </c>
      <c r="B437" s="1" t="n">
        <v>45258</v>
      </c>
      <c r="C437" s="1" t="n">
        <v>45626</v>
      </c>
      <c r="D437" t="inlineStr">
        <is>
          <t>NORRBOTTENS LÄN</t>
        </is>
      </c>
      <c r="E437" t="inlineStr">
        <is>
          <t>ÄLVSBYN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60500-2023</t>
        </is>
      </c>
      <c r="B438" s="1" t="n">
        <v>45259</v>
      </c>
      <c r="C438" s="1" t="n">
        <v>45626</v>
      </c>
      <c r="D438" t="inlineStr">
        <is>
          <t>NORRBOTTENS LÄN</t>
        </is>
      </c>
      <c r="E438" t="inlineStr">
        <is>
          <t>ÄLVSBYN</t>
        </is>
      </c>
      <c r="G438" t="n">
        <v>18.6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61516-2023</t>
        </is>
      </c>
      <c r="B439" s="1" t="n">
        <v>45265</v>
      </c>
      <c r="C439" s="1" t="n">
        <v>45626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32.6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61520-2023</t>
        </is>
      </c>
      <c r="B440" s="1" t="n">
        <v>45265</v>
      </c>
      <c r="C440" s="1" t="n">
        <v>45626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38.9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61524-2023</t>
        </is>
      </c>
      <c r="B441" s="1" t="n">
        <v>45265</v>
      </c>
      <c r="C441" s="1" t="n">
        <v>45626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40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61517-2023</t>
        </is>
      </c>
      <c r="B442" s="1" t="n">
        <v>45265</v>
      </c>
      <c r="C442" s="1" t="n">
        <v>45626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40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61521-2023</t>
        </is>
      </c>
      <c r="B443" s="1" t="n">
        <v>45265</v>
      </c>
      <c r="C443" s="1" t="n">
        <v>45626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45626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45626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62068-2023</t>
        </is>
      </c>
      <c r="B446" s="1" t="n">
        <v>45266</v>
      </c>
      <c r="C446" s="1" t="n">
        <v>45626</v>
      </c>
      <c r="D446" t="inlineStr">
        <is>
          <t>NORRBOTTENS LÄN</t>
        </is>
      </c>
      <c r="E446" t="inlineStr">
        <is>
          <t>ÄLVSBYN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62409-2023</t>
        </is>
      </c>
      <c r="B447" s="1" t="n">
        <v>45266</v>
      </c>
      <c r="C447" s="1" t="n">
        <v>45626</v>
      </c>
      <c r="D447" t="inlineStr">
        <is>
          <t>NORRBOTTENS LÄN</t>
        </is>
      </c>
      <c r="E447" t="inlineStr">
        <is>
          <t>ÄLVSBYN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62406-2023</t>
        </is>
      </c>
      <c r="B448" s="1" t="n">
        <v>45266</v>
      </c>
      <c r="C448" s="1" t="n">
        <v>45626</v>
      </c>
      <c r="D448" t="inlineStr">
        <is>
          <t>NORRBOTTENS LÄN</t>
        </is>
      </c>
      <c r="E448" t="inlineStr">
        <is>
          <t>ÄLVSBYN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62395-2023</t>
        </is>
      </c>
      <c r="B449" s="1" t="n">
        <v>45266</v>
      </c>
      <c r="C449" s="1" t="n">
        <v>45626</v>
      </c>
      <c r="D449" t="inlineStr">
        <is>
          <t>NORRBOTTENS LÄN</t>
        </is>
      </c>
      <c r="E449" t="inlineStr">
        <is>
          <t>ÄLVSBYN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62550-2023</t>
        </is>
      </c>
      <c r="B450" s="1" t="n">
        <v>45268</v>
      </c>
      <c r="C450" s="1" t="n">
        <v>45626</v>
      </c>
      <c r="D450" t="inlineStr">
        <is>
          <t>NORRBOTTENS LÄN</t>
        </is>
      </c>
      <c r="E450" t="inlineStr">
        <is>
          <t>ÄLVSBYN</t>
        </is>
      </c>
      <c r="G450" t="n">
        <v>16.3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62757-2023</t>
        </is>
      </c>
      <c r="B451" s="1" t="n">
        <v>45268</v>
      </c>
      <c r="C451" s="1" t="n">
        <v>45626</v>
      </c>
      <c r="D451" t="inlineStr">
        <is>
          <t>NORRBOTTENS LÄN</t>
        </is>
      </c>
      <c r="E451" t="inlineStr">
        <is>
          <t>ÄLVSBYN</t>
        </is>
      </c>
      <c r="G451" t="n">
        <v>14.4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62746-2023</t>
        </is>
      </c>
      <c r="B452" s="1" t="n">
        <v>45268</v>
      </c>
      <c r="C452" s="1" t="n">
        <v>45626</v>
      </c>
      <c r="D452" t="inlineStr">
        <is>
          <t>NORRBOTTENS LÄN</t>
        </is>
      </c>
      <c r="E452" t="inlineStr">
        <is>
          <t>ÄLVSBYN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62696-2023</t>
        </is>
      </c>
      <c r="B453" s="1" t="n">
        <v>45271</v>
      </c>
      <c r="C453" s="1" t="n">
        <v>45626</v>
      </c>
      <c r="D453" t="inlineStr">
        <is>
          <t>NORRBOTTENS LÄN</t>
        </is>
      </c>
      <c r="E453" t="inlineStr">
        <is>
          <t>ÄLVSBYN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62880-2023</t>
        </is>
      </c>
      <c r="B454" s="1" t="n">
        <v>45272</v>
      </c>
      <c r="C454" s="1" t="n">
        <v>45626</v>
      </c>
      <c r="D454" t="inlineStr">
        <is>
          <t>NORRBOTTENS LÄN</t>
        </is>
      </c>
      <c r="E454" t="inlineStr">
        <is>
          <t>ÄLVSBYN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63953-2023</t>
        </is>
      </c>
      <c r="B455" s="1" t="n">
        <v>45278</v>
      </c>
      <c r="C455" s="1" t="n">
        <v>45626</v>
      </c>
      <c r="D455" t="inlineStr">
        <is>
          <t>NORRBOTTENS LÄN</t>
        </is>
      </c>
      <c r="E455" t="inlineStr">
        <is>
          <t>ÄLVSBYN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63954-2023</t>
        </is>
      </c>
      <c r="B456" s="1" t="n">
        <v>45278</v>
      </c>
      <c r="C456" s="1" t="n">
        <v>45626</v>
      </c>
      <c r="D456" t="inlineStr">
        <is>
          <t>NORRBOTTENS LÄN</t>
        </is>
      </c>
      <c r="E456" t="inlineStr">
        <is>
          <t>ÄLVSBYN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63927-2023</t>
        </is>
      </c>
      <c r="B457" s="1" t="n">
        <v>45278</v>
      </c>
      <c r="C457" s="1" t="n">
        <v>45626</v>
      </c>
      <c r="D457" t="inlineStr">
        <is>
          <t>NORRBOTTENS LÄN</t>
        </is>
      </c>
      <c r="E457" t="inlineStr">
        <is>
          <t>ÄLVSBYN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64403-2023</t>
        </is>
      </c>
      <c r="B458" s="1" t="n">
        <v>45280</v>
      </c>
      <c r="C458" s="1" t="n">
        <v>45626</v>
      </c>
      <c r="D458" t="inlineStr">
        <is>
          <t>NORRBOTTENS LÄN</t>
        </is>
      </c>
      <c r="E458" t="inlineStr">
        <is>
          <t>ÄLVSBYN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64407-2023</t>
        </is>
      </c>
      <c r="B459" s="1" t="n">
        <v>45280</v>
      </c>
      <c r="C459" s="1" t="n">
        <v>45626</v>
      </c>
      <c r="D459" t="inlineStr">
        <is>
          <t>NORRBOTTENS LÄN</t>
        </is>
      </c>
      <c r="E459" t="inlineStr">
        <is>
          <t>ÄLVSBYN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64472-2023</t>
        </is>
      </c>
      <c r="B460" s="1" t="n">
        <v>45280</v>
      </c>
      <c r="C460" s="1" t="n">
        <v>45626</v>
      </c>
      <c r="D460" t="inlineStr">
        <is>
          <t>NORRBOTTENS LÄN</t>
        </is>
      </c>
      <c r="E460" t="inlineStr">
        <is>
          <t>ÄLVSBYN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64470-2023</t>
        </is>
      </c>
      <c r="B461" s="1" t="n">
        <v>45280</v>
      </c>
      <c r="C461" s="1" t="n">
        <v>45626</v>
      </c>
      <c r="D461" t="inlineStr">
        <is>
          <t>NORRBOTTENS LÄN</t>
        </is>
      </c>
      <c r="E461" t="inlineStr">
        <is>
          <t>ÄLVSBYN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64471-2023</t>
        </is>
      </c>
      <c r="B462" s="1" t="n">
        <v>45280</v>
      </c>
      <c r="C462" s="1" t="n">
        <v>45626</v>
      </c>
      <c r="D462" t="inlineStr">
        <is>
          <t>NORRBOTTENS LÄN</t>
        </is>
      </c>
      <c r="E462" t="inlineStr">
        <is>
          <t>ÄLVSBYN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45626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64872-2023</t>
        </is>
      </c>
      <c r="B464" s="1" t="n">
        <v>45282</v>
      </c>
      <c r="C464" s="1" t="n">
        <v>45626</v>
      </c>
      <c r="D464" t="inlineStr">
        <is>
          <t>NORRBOTTENS LÄN</t>
        </is>
      </c>
      <c r="E464" t="inlineStr">
        <is>
          <t>ÄLVSBYN</t>
        </is>
      </c>
      <c r="F464" t="inlineStr">
        <is>
          <t>Övriga Aktiebolag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64876-2023</t>
        </is>
      </c>
      <c r="B465" s="1" t="n">
        <v>45282</v>
      </c>
      <c r="C465" s="1" t="n">
        <v>45626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64882-2023</t>
        </is>
      </c>
      <c r="B466" s="1" t="n">
        <v>45282</v>
      </c>
      <c r="C466" s="1" t="n">
        <v>45626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404-2024</t>
        </is>
      </c>
      <c r="B467" s="1" t="n">
        <v>45296</v>
      </c>
      <c r="C467" s="1" t="n">
        <v>45626</v>
      </c>
      <c r="D467" t="inlineStr">
        <is>
          <t>NORRBOTTENS LÄN</t>
        </is>
      </c>
      <c r="E467" t="inlineStr">
        <is>
          <t>ÄLVSBYN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594-2024</t>
        </is>
      </c>
      <c r="B468" s="1" t="n">
        <v>45299</v>
      </c>
      <c r="C468" s="1" t="n">
        <v>45626</v>
      </c>
      <c r="D468" t="inlineStr">
        <is>
          <t>NORRBOTTENS LÄN</t>
        </is>
      </c>
      <c r="E468" t="inlineStr">
        <is>
          <t>ÄLVSBYN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658-2024</t>
        </is>
      </c>
      <c r="B469" s="1" t="n">
        <v>45299</v>
      </c>
      <c r="C469" s="1" t="n">
        <v>45626</v>
      </c>
      <c r="D469" t="inlineStr">
        <is>
          <t>NORRBOTTENS LÄN</t>
        </is>
      </c>
      <c r="E469" t="inlineStr">
        <is>
          <t>ÄLVSBYN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1200-2024</t>
        </is>
      </c>
      <c r="B470" s="1" t="n">
        <v>45302</v>
      </c>
      <c r="C470" s="1" t="n">
        <v>45626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1238-2024</t>
        </is>
      </c>
      <c r="B471" s="1" t="n">
        <v>45302</v>
      </c>
      <c r="C471" s="1" t="n">
        <v>45626</v>
      </c>
      <c r="D471" t="inlineStr">
        <is>
          <t>NORRBOTTENS LÄN</t>
        </is>
      </c>
      <c r="E471" t="inlineStr">
        <is>
          <t>ÄLVSBYN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1207-2024</t>
        </is>
      </c>
      <c r="B472" s="1" t="n">
        <v>45302</v>
      </c>
      <c r="C472" s="1" t="n">
        <v>45626</v>
      </c>
      <c r="D472" t="inlineStr">
        <is>
          <t>NORRBOTTENS LÄN</t>
        </is>
      </c>
      <c r="E472" t="inlineStr">
        <is>
          <t>ÄLVSBYN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1486-2024</t>
        </is>
      </c>
      <c r="B473" s="1" t="n">
        <v>45305</v>
      </c>
      <c r="C473" s="1" t="n">
        <v>45626</v>
      </c>
      <c r="D473" t="inlineStr">
        <is>
          <t>NORRBOTTENS LÄN</t>
        </is>
      </c>
      <c r="E473" t="inlineStr">
        <is>
          <t>ÄLVSBYN</t>
        </is>
      </c>
      <c r="G473" t="n">
        <v>92.09999999999999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2324-2024</t>
        </is>
      </c>
      <c r="B474" s="1" t="n">
        <v>45310</v>
      </c>
      <c r="C474" s="1" t="n">
        <v>45626</v>
      </c>
      <c r="D474" t="inlineStr">
        <is>
          <t>NORRBOTTENS LÄN</t>
        </is>
      </c>
      <c r="E474" t="inlineStr">
        <is>
          <t>ÄLVSBYN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2321-2024</t>
        </is>
      </c>
      <c r="B475" s="1" t="n">
        <v>45310</v>
      </c>
      <c r="C475" s="1" t="n">
        <v>45626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3509-2024</t>
        </is>
      </c>
      <c r="B476" s="1" t="n">
        <v>45320</v>
      </c>
      <c r="C476" s="1" t="n">
        <v>45626</v>
      </c>
      <c r="D476" t="inlineStr">
        <is>
          <t>NORRBOTTENS LÄN</t>
        </is>
      </c>
      <c r="E476" t="inlineStr">
        <is>
          <t>ÄLVSBYN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3984-2024</t>
        </is>
      </c>
      <c r="B477" s="1" t="n">
        <v>45322</v>
      </c>
      <c r="C477" s="1" t="n">
        <v>45626</v>
      </c>
      <c r="D477" t="inlineStr">
        <is>
          <t>NORRBOTTENS LÄN</t>
        </is>
      </c>
      <c r="E477" t="inlineStr">
        <is>
          <t>ÄLVSBYN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4690-2024</t>
        </is>
      </c>
      <c r="B478" s="1" t="n">
        <v>45328</v>
      </c>
      <c r="C478" s="1" t="n">
        <v>45626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5378-2024</t>
        </is>
      </c>
      <c r="B479" s="1" t="n">
        <v>45331</v>
      </c>
      <c r="C479" s="1" t="n">
        <v>45626</v>
      </c>
      <c r="D479" t="inlineStr">
        <is>
          <t>NORRBOTTENS LÄN</t>
        </is>
      </c>
      <c r="E479" t="inlineStr">
        <is>
          <t>ÄLVSBYN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5389-2024</t>
        </is>
      </c>
      <c r="B480" s="1" t="n">
        <v>45331</v>
      </c>
      <c r="C480" s="1" t="n">
        <v>45626</v>
      </c>
      <c r="D480" t="inlineStr">
        <is>
          <t>NORRBOTTENS LÄN</t>
        </is>
      </c>
      <c r="E480" t="inlineStr">
        <is>
          <t>ÄLVSBYN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5419-2024</t>
        </is>
      </c>
      <c r="B481" s="1" t="n">
        <v>45331</v>
      </c>
      <c r="C481" s="1" t="n">
        <v>45626</v>
      </c>
      <c r="D481" t="inlineStr">
        <is>
          <t>NORRBOTTENS LÄN</t>
        </is>
      </c>
      <c r="E481" t="inlineStr">
        <is>
          <t>ÄLVSBYN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5646-2024</t>
        </is>
      </c>
      <c r="B482" s="1" t="n">
        <v>45334</v>
      </c>
      <c r="C482" s="1" t="n">
        <v>45626</v>
      </c>
      <c r="D482" t="inlineStr">
        <is>
          <t>NORRBOTTENS LÄN</t>
        </is>
      </c>
      <c r="E482" t="inlineStr">
        <is>
          <t>ÄLVSBYN</t>
        </is>
      </c>
      <c r="G482" t="n">
        <v>13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5650-2024</t>
        </is>
      </c>
      <c r="B483" s="1" t="n">
        <v>45334</v>
      </c>
      <c r="C483" s="1" t="n">
        <v>45626</v>
      </c>
      <c r="D483" t="inlineStr">
        <is>
          <t>NORRBOTTENS LÄN</t>
        </is>
      </c>
      <c r="E483" t="inlineStr">
        <is>
          <t>ÄLVSBYN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5628-2024</t>
        </is>
      </c>
      <c r="B484" s="1" t="n">
        <v>45334</v>
      </c>
      <c r="C484" s="1" t="n">
        <v>45626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5732-2024</t>
        </is>
      </c>
      <c r="B485" s="1" t="n">
        <v>45334</v>
      </c>
      <c r="C485" s="1" t="n">
        <v>45626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5733-2024</t>
        </is>
      </c>
      <c r="B486" s="1" t="n">
        <v>45334</v>
      </c>
      <c r="C486" s="1" t="n">
        <v>45626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6197-2024</t>
        </is>
      </c>
      <c r="B487" s="1" t="n">
        <v>45337</v>
      </c>
      <c r="C487" s="1" t="n">
        <v>45626</v>
      </c>
      <c r="D487" t="inlineStr">
        <is>
          <t>NORRBOTTENS LÄN</t>
        </is>
      </c>
      <c r="E487" t="inlineStr">
        <is>
          <t>ÄLVSBYN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6275-2024</t>
        </is>
      </c>
      <c r="B488" s="1" t="n">
        <v>45337</v>
      </c>
      <c r="C488" s="1" t="n">
        <v>45626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6864-2024</t>
        </is>
      </c>
      <c r="B489" s="1" t="n">
        <v>45342</v>
      </c>
      <c r="C489" s="1" t="n">
        <v>45626</v>
      </c>
      <c r="D489" t="inlineStr">
        <is>
          <t>NORRBOTTENS LÄN</t>
        </is>
      </c>
      <c r="E489" t="inlineStr">
        <is>
          <t>ÄLVSBYN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6899-2024</t>
        </is>
      </c>
      <c r="B490" s="1" t="n">
        <v>45342</v>
      </c>
      <c r="C490" s="1" t="n">
        <v>45626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6866-2024</t>
        </is>
      </c>
      <c r="B491" s="1" t="n">
        <v>45342</v>
      </c>
      <c r="C491" s="1" t="n">
        <v>45626</v>
      </c>
      <c r="D491" t="inlineStr">
        <is>
          <t>NORRBOTTENS LÄN</t>
        </is>
      </c>
      <c r="E491" t="inlineStr">
        <is>
          <t>ÄLVSBYN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7115-2024</t>
        </is>
      </c>
      <c r="B492" s="1" t="n">
        <v>45343</v>
      </c>
      <c r="C492" s="1" t="n">
        <v>45626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15.1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7266-2024</t>
        </is>
      </c>
      <c r="B493" s="1" t="n">
        <v>45344</v>
      </c>
      <c r="C493" s="1" t="n">
        <v>45626</v>
      </c>
      <c r="D493" t="inlineStr">
        <is>
          <t>NORRBOTTENS LÄN</t>
        </is>
      </c>
      <c r="E493" t="inlineStr">
        <is>
          <t>ÄLVSBYN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7289-2024</t>
        </is>
      </c>
      <c r="B494" s="1" t="n">
        <v>45344</v>
      </c>
      <c r="C494" s="1" t="n">
        <v>45626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7479-2024</t>
        </is>
      </c>
      <c r="B495" s="1" t="n">
        <v>45345</v>
      </c>
      <c r="C495" s="1" t="n">
        <v>45626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8508-2024</t>
        </is>
      </c>
      <c r="B496" s="1" t="n">
        <v>45351</v>
      </c>
      <c r="C496" s="1" t="n">
        <v>45626</v>
      </c>
      <c r="D496" t="inlineStr">
        <is>
          <t>NORRBOTTENS LÄN</t>
        </is>
      </c>
      <c r="E496" t="inlineStr">
        <is>
          <t>ÄLVSBYN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8517-2024</t>
        </is>
      </c>
      <c r="B497" s="1" t="n">
        <v>45351</v>
      </c>
      <c r="C497" s="1" t="n">
        <v>45626</v>
      </c>
      <c r="D497" t="inlineStr">
        <is>
          <t>NORRBOTTENS LÄN</t>
        </is>
      </c>
      <c r="E497" t="inlineStr">
        <is>
          <t>ÄLVSBYN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8638-2024</t>
        </is>
      </c>
      <c r="B498" s="1" t="n">
        <v>45356</v>
      </c>
      <c r="C498" s="1" t="n">
        <v>45626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8646-2024</t>
        </is>
      </c>
      <c r="B499" s="1" t="n">
        <v>45356</v>
      </c>
      <c r="C499" s="1" t="n">
        <v>45626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8867-2024</t>
        </is>
      </c>
      <c r="B500" s="1" t="n">
        <v>45357</v>
      </c>
      <c r="C500" s="1" t="n">
        <v>45626</v>
      </c>
      <c r="D500" t="inlineStr">
        <is>
          <t>NORRBOTTENS LÄN</t>
        </is>
      </c>
      <c r="E500" t="inlineStr">
        <is>
          <t>ÄLVSBYN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9017-2024</t>
        </is>
      </c>
      <c r="B501" s="1" t="n">
        <v>45356</v>
      </c>
      <c r="C501" s="1" t="n">
        <v>45626</v>
      </c>
      <c r="D501" t="inlineStr">
        <is>
          <t>NORRBOTTENS LÄN</t>
        </is>
      </c>
      <c r="E501" t="inlineStr">
        <is>
          <t>ÄLVSBYN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9022-2024</t>
        </is>
      </c>
      <c r="B502" s="1" t="n">
        <v>45356</v>
      </c>
      <c r="C502" s="1" t="n">
        <v>45626</v>
      </c>
      <c r="D502" t="inlineStr">
        <is>
          <t>NORRBOTTENS LÄN</t>
        </is>
      </c>
      <c r="E502" t="inlineStr">
        <is>
          <t>ÄLVSBYN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10040-2024</t>
        </is>
      </c>
      <c r="B503" s="1" t="n">
        <v>45364</v>
      </c>
      <c r="C503" s="1" t="n">
        <v>45626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10206-2024</t>
        </is>
      </c>
      <c r="B504" s="1" t="n">
        <v>45364</v>
      </c>
      <c r="C504" s="1" t="n">
        <v>45626</v>
      </c>
      <c r="D504" t="inlineStr">
        <is>
          <t>NORRBOTTENS LÄN</t>
        </is>
      </c>
      <c r="E504" t="inlineStr">
        <is>
          <t>ÄLVSBYN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10249-2024</t>
        </is>
      </c>
      <c r="B505" s="1" t="n">
        <v>45365</v>
      </c>
      <c r="C505" s="1" t="n">
        <v>45626</v>
      </c>
      <c r="D505" t="inlineStr">
        <is>
          <t>NORRBOTTENS LÄN</t>
        </is>
      </c>
      <c r="E505" t="inlineStr">
        <is>
          <t>ÄLVSBYN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10434-2024</t>
        </is>
      </c>
      <c r="B506" s="1" t="n">
        <v>45365</v>
      </c>
      <c r="C506" s="1" t="n">
        <v>45626</v>
      </c>
      <c r="D506" t="inlineStr">
        <is>
          <t>NORRBOTTENS LÄN</t>
        </is>
      </c>
      <c r="E506" t="inlineStr">
        <is>
          <t>ÄLVSBYN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10871-2024</t>
        </is>
      </c>
      <c r="B507" s="1" t="n">
        <v>45370</v>
      </c>
      <c r="C507" s="1" t="n">
        <v>45626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11654-2024</t>
        </is>
      </c>
      <c r="B508" s="1" t="n">
        <v>45373</v>
      </c>
      <c r="C508" s="1" t="n">
        <v>45626</v>
      </c>
      <c r="D508" t="inlineStr">
        <is>
          <t>NORRBOTTENS LÄN</t>
        </is>
      </c>
      <c r="E508" t="inlineStr">
        <is>
          <t>ÄLVSBYN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12440-2024</t>
        </is>
      </c>
      <c r="B509" s="1" t="n">
        <v>45379</v>
      </c>
      <c r="C509" s="1" t="n">
        <v>45626</v>
      </c>
      <c r="D509" t="inlineStr">
        <is>
          <t>NORRBOTTENS LÄN</t>
        </is>
      </c>
      <c r="E509" t="inlineStr">
        <is>
          <t>ÄLVSBYN</t>
        </is>
      </c>
      <c r="F509" t="inlineStr">
        <is>
          <t>Sveaskog</t>
        </is>
      </c>
      <c r="G509" t="n">
        <v>26.3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14445-2024</t>
        </is>
      </c>
      <c r="B510" s="1" t="n">
        <v>45394</v>
      </c>
      <c r="C510" s="1" t="n">
        <v>45626</v>
      </c>
      <c r="D510" t="inlineStr">
        <is>
          <t>NORRBOTTENS LÄN</t>
        </is>
      </c>
      <c r="E510" t="inlineStr">
        <is>
          <t>ÄLVSBYN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14470-2024</t>
        </is>
      </c>
      <c r="B511" s="1" t="n">
        <v>45394</v>
      </c>
      <c r="C511" s="1" t="n">
        <v>45626</v>
      </c>
      <c r="D511" t="inlineStr">
        <is>
          <t>NORRBOTTENS LÄN</t>
        </is>
      </c>
      <c r="E511" t="inlineStr">
        <is>
          <t>ÄLVSBYN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14446-2024</t>
        </is>
      </c>
      <c r="B512" s="1" t="n">
        <v>45394</v>
      </c>
      <c r="C512" s="1" t="n">
        <v>45626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14579-2024</t>
        </is>
      </c>
      <c r="B513" s="1" t="n">
        <v>45395</v>
      </c>
      <c r="C513" s="1" t="n">
        <v>45626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19.4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15417-2024</t>
        </is>
      </c>
      <c r="B514" s="1" t="n">
        <v>45401</v>
      </c>
      <c r="C514" s="1" t="n">
        <v>45626</v>
      </c>
      <c r="D514" t="inlineStr">
        <is>
          <t>NORRBOTTENS LÄN</t>
        </is>
      </c>
      <c r="E514" t="inlineStr">
        <is>
          <t>ÄLVSBYN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15401-2024</t>
        </is>
      </c>
      <c r="B515" s="1" t="n">
        <v>45401</v>
      </c>
      <c r="C515" s="1" t="n">
        <v>45626</v>
      </c>
      <c r="D515" t="inlineStr">
        <is>
          <t>NORRBOTTENS LÄN</t>
        </is>
      </c>
      <c r="E515" t="inlineStr">
        <is>
          <t>ÄLVSBYN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15531-2024</t>
        </is>
      </c>
      <c r="B516" s="1" t="n">
        <v>45401</v>
      </c>
      <c r="C516" s="1" t="n">
        <v>45626</v>
      </c>
      <c r="D516" t="inlineStr">
        <is>
          <t>NORRBOTTENS LÄN</t>
        </is>
      </c>
      <c r="E516" t="inlineStr">
        <is>
          <t>ÄLVSBYN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15410-2024</t>
        </is>
      </c>
      <c r="B517" s="1" t="n">
        <v>45401</v>
      </c>
      <c r="C517" s="1" t="n">
        <v>45626</v>
      </c>
      <c r="D517" t="inlineStr">
        <is>
          <t>NORRBOTTENS LÄN</t>
        </is>
      </c>
      <c r="E517" t="inlineStr">
        <is>
          <t>ÄLVSBYN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15845-2024</t>
        </is>
      </c>
      <c r="B518" s="1" t="n">
        <v>45404</v>
      </c>
      <c r="C518" s="1" t="n">
        <v>45626</v>
      </c>
      <c r="D518" t="inlineStr">
        <is>
          <t>NORRBOTTENS LÄN</t>
        </is>
      </c>
      <c r="E518" t="inlineStr">
        <is>
          <t>ÄLVSBYN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15936-2024</t>
        </is>
      </c>
      <c r="B519" s="1" t="n">
        <v>45405</v>
      </c>
      <c r="C519" s="1" t="n">
        <v>45626</v>
      </c>
      <c r="D519" t="inlineStr">
        <is>
          <t>NORRBOTTENS LÄN</t>
        </is>
      </c>
      <c r="E519" t="inlineStr">
        <is>
          <t>ÄLVSBYN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15959-2024</t>
        </is>
      </c>
      <c r="B520" s="1" t="n">
        <v>45405</v>
      </c>
      <c r="C520" s="1" t="n">
        <v>45626</v>
      </c>
      <c r="D520" t="inlineStr">
        <is>
          <t>NORRBOTTENS LÄN</t>
        </is>
      </c>
      <c r="E520" t="inlineStr">
        <is>
          <t>ÄLVSBYN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16057-2024</t>
        </is>
      </c>
      <c r="B521" s="1" t="n">
        <v>45406</v>
      </c>
      <c r="C521" s="1" t="n">
        <v>45626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16204-2024</t>
        </is>
      </c>
      <c r="B522" s="1" t="n">
        <v>45406</v>
      </c>
      <c r="C522" s="1" t="n">
        <v>45626</v>
      </c>
      <c r="D522" t="inlineStr">
        <is>
          <t>NORRBOTTENS LÄN</t>
        </is>
      </c>
      <c r="E522" t="inlineStr">
        <is>
          <t>ÄLVSBYN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16347-2024</t>
        </is>
      </c>
      <c r="B523" s="1" t="n">
        <v>45407</v>
      </c>
      <c r="C523" s="1" t="n">
        <v>45626</v>
      </c>
      <c r="D523" t="inlineStr">
        <is>
          <t>NORRBOTTENS LÄN</t>
        </is>
      </c>
      <c r="E523" t="inlineStr">
        <is>
          <t>ÄLVSBYN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17594-2024</t>
        </is>
      </c>
      <c r="B524" s="1" t="n">
        <v>45416</v>
      </c>
      <c r="C524" s="1" t="n">
        <v>45626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19998-2024</t>
        </is>
      </c>
      <c r="B525" s="1" t="n">
        <v>45434</v>
      </c>
      <c r="C525" s="1" t="n">
        <v>45626</v>
      </c>
      <c r="D525" t="inlineStr">
        <is>
          <t>NORRBOTTENS LÄN</t>
        </is>
      </c>
      <c r="E525" t="inlineStr">
        <is>
          <t>ÄLVSBYN</t>
        </is>
      </c>
      <c r="F525" t="inlineStr">
        <is>
          <t>SCA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20253-2024</t>
        </is>
      </c>
      <c r="B526" s="1" t="n">
        <v>45434</v>
      </c>
      <c r="C526" s="1" t="n">
        <v>45626</v>
      </c>
      <c r="D526" t="inlineStr">
        <is>
          <t>NORRBOTTENS LÄN</t>
        </is>
      </c>
      <c r="E526" t="inlineStr">
        <is>
          <t>ÄLVSBYN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20254-2024</t>
        </is>
      </c>
      <c r="B527" s="1" t="n">
        <v>45434</v>
      </c>
      <c r="C527" s="1" t="n">
        <v>45626</v>
      </c>
      <c r="D527" t="inlineStr">
        <is>
          <t>NORRBOTTENS LÄN</t>
        </is>
      </c>
      <c r="E527" t="inlineStr">
        <is>
          <t>ÄLVSBYN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20959-2024</t>
        </is>
      </c>
      <c r="B528" s="1" t="n">
        <v>45439</v>
      </c>
      <c r="C528" s="1" t="n">
        <v>45626</v>
      </c>
      <c r="D528" t="inlineStr">
        <is>
          <t>NORRBOTTENS LÄN</t>
        </is>
      </c>
      <c r="E528" t="inlineStr">
        <is>
          <t>ÄLVSBYN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20942-2024</t>
        </is>
      </c>
      <c r="B529" s="1" t="n">
        <v>45439</v>
      </c>
      <c r="C529" s="1" t="n">
        <v>45626</v>
      </c>
      <c r="D529" t="inlineStr">
        <is>
          <t>NORRBOTTENS LÄN</t>
        </is>
      </c>
      <c r="E529" t="inlineStr">
        <is>
          <t>ÄLVSBYN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21258-2024</t>
        </is>
      </c>
      <c r="B530" s="1" t="n">
        <v>45440</v>
      </c>
      <c r="C530" s="1" t="n">
        <v>45626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21365-2024</t>
        </is>
      </c>
      <c r="B531" s="1" t="n">
        <v>45440</v>
      </c>
      <c r="C531" s="1" t="n">
        <v>45626</v>
      </c>
      <c r="D531" t="inlineStr">
        <is>
          <t>NORRBOTTENS LÄN</t>
        </is>
      </c>
      <c r="E531" t="inlineStr">
        <is>
          <t>ÄLVSBYN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21523-2024</t>
        </is>
      </c>
      <c r="B532" s="1" t="n">
        <v>45441</v>
      </c>
      <c r="C532" s="1" t="n">
        <v>45626</v>
      </c>
      <c r="D532" t="inlineStr">
        <is>
          <t>NORRBOTTENS LÄN</t>
        </is>
      </c>
      <c r="E532" t="inlineStr">
        <is>
          <t>ÄLVSBYN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21501-2024</t>
        </is>
      </c>
      <c r="B533" s="1" t="n">
        <v>45441</v>
      </c>
      <c r="C533" s="1" t="n">
        <v>45626</v>
      </c>
      <c r="D533" t="inlineStr">
        <is>
          <t>NORRBOTTENS LÄN</t>
        </is>
      </c>
      <c r="E533" t="inlineStr">
        <is>
          <t>ÄLVSBYN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21743-2024</t>
        </is>
      </c>
      <c r="B534" s="1" t="n">
        <v>45442</v>
      </c>
      <c r="C534" s="1" t="n">
        <v>45626</v>
      </c>
      <c r="D534" t="inlineStr">
        <is>
          <t>NORRBOTTENS LÄN</t>
        </is>
      </c>
      <c r="E534" t="inlineStr">
        <is>
          <t>ÄLVSBYN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22034-2024</t>
        </is>
      </c>
      <c r="B535" s="1" t="n">
        <v>45443</v>
      </c>
      <c r="C535" s="1" t="n">
        <v>45626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21857-2024</t>
        </is>
      </c>
      <c r="B536" s="1" t="n">
        <v>45443</v>
      </c>
      <c r="C536" s="1" t="n">
        <v>45626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18.2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21977-2024</t>
        </is>
      </c>
      <c r="B537" s="1" t="n">
        <v>45443</v>
      </c>
      <c r="C537" s="1" t="n">
        <v>45626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22810-2024</t>
        </is>
      </c>
      <c r="B538" s="1" t="n">
        <v>45448</v>
      </c>
      <c r="C538" s="1" t="n">
        <v>45626</v>
      </c>
      <c r="D538" t="inlineStr">
        <is>
          <t>NORRBOTTENS LÄN</t>
        </is>
      </c>
      <c r="E538" t="inlineStr">
        <is>
          <t>ÄLVSBYN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22807-2024</t>
        </is>
      </c>
      <c r="B539" s="1" t="n">
        <v>45448</v>
      </c>
      <c r="C539" s="1" t="n">
        <v>45626</v>
      </c>
      <c r="D539" t="inlineStr">
        <is>
          <t>NORRBOTTENS LÄN</t>
        </is>
      </c>
      <c r="E539" t="inlineStr">
        <is>
          <t>ÄLVSBYN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23136-2024</t>
        </is>
      </c>
      <c r="B540" s="1" t="n">
        <v>45450</v>
      </c>
      <c r="C540" s="1" t="n">
        <v>45626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23415-2024</t>
        </is>
      </c>
      <c r="B541" s="1" t="n">
        <v>45453</v>
      </c>
      <c r="C541" s="1" t="n">
        <v>45626</v>
      </c>
      <c r="D541" t="inlineStr">
        <is>
          <t>NORRBOTTENS LÄN</t>
        </is>
      </c>
      <c r="E541" t="inlineStr">
        <is>
          <t>ÄLVSBYN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25103-2024</t>
        </is>
      </c>
      <c r="B542" s="1" t="n">
        <v>45462</v>
      </c>
      <c r="C542" s="1" t="n">
        <v>45626</v>
      </c>
      <c r="D542" t="inlineStr">
        <is>
          <t>NORRBOTTENS LÄN</t>
        </is>
      </c>
      <c r="E542" t="inlineStr">
        <is>
          <t>ÄLVSBYN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25420-2024</t>
        </is>
      </c>
      <c r="B543" s="1" t="n">
        <v>45463</v>
      </c>
      <c r="C543" s="1" t="n">
        <v>45626</v>
      </c>
      <c r="D543" t="inlineStr">
        <is>
          <t>NORRBOTTENS LÄN</t>
        </is>
      </c>
      <c r="E543" t="inlineStr">
        <is>
          <t>ÄLVSBYN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25457-2024</t>
        </is>
      </c>
      <c r="B544" s="1" t="n">
        <v>45463</v>
      </c>
      <c r="C544" s="1" t="n">
        <v>45626</v>
      </c>
      <c r="D544" t="inlineStr">
        <is>
          <t>NORRBOTTENS LÄN</t>
        </is>
      </c>
      <c r="E544" t="inlineStr">
        <is>
          <t>ÄLVSBYN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26003-2024</t>
        </is>
      </c>
      <c r="B545" s="1" t="n">
        <v>45467</v>
      </c>
      <c r="C545" s="1" t="n">
        <v>45626</v>
      </c>
      <c r="D545" t="inlineStr">
        <is>
          <t>NORRBOTTENS LÄN</t>
        </is>
      </c>
      <c r="E545" t="inlineStr">
        <is>
          <t>ÄLVSBYN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26276-2024</t>
        </is>
      </c>
      <c r="B546" s="1" t="n">
        <v>45468</v>
      </c>
      <c r="C546" s="1" t="n">
        <v>45626</v>
      </c>
      <c r="D546" t="inlineStr">
        <is>
          <t>NORRBOTTENS LÄN</t>
        </is>
      </c>
      <c r="E546" t="inlineStr">
        <is>
          <t>ÄLVSBYN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26727-2024</t>
        </is>
      </c>
      <c r="B547" s="1" t="n">
        <v>45470</v>
      </c>
      <c r="C547" s="1" t="n">
        <v>45626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27550-2024</t>
        </is>
      </c>
      <c r="B548" s="1" t="n">
        <v>45474</v>
      </c>
      <c r="C548" s="1" t="n">
        <v>45626</v>
      </c>
      <c r="D548" t="inlineStr">
        <is>
          <t>NORRBOTTENS LÄN</t>
        </is>
      </c>
      <c r="E548" t="inlineStr">
        <is>
          <t>ÄLVSBYN</t>
        </is>
      </c>
      <c r="F548" t="inlineStr">
        <is>
          <t>Övriga Aktiebolag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27912-2024</t>
        </is>
      </c>
      <c r="B549" s="1" t="n">
        <v>45476</v>
      </c>
      <c r="C549" s="1" t="n">
        <v>45626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28163-2024</t>
        </is>
      </c>
      <c r="B550" s="1" t="n">
        <v>45477</v>
      </c>
      <c r="C550" s="1" t="n">
        <v>45626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28513-2024</t>
        </is>
      </c>
      <c r="B551" s="1" t="n">
        <v>45478</v>
      </c>
      <c r="C551" s="1" t="n">
        <v>45626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19.1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28358-2024</t>
        </is>
      </c>
      <c r="B552" s="1" t="n">
        <v>45477</v>
      </c>
      <c r="C552" s="1" t="n">
        <v>45626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28314-2024</t>
        </is>
      </c>
      <c r="B553" s="1" t="n">
        <v>45477</v>
      </c>
      <c r="C553" s="1" t="n">
        <v>45626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28862-2024</t>
        </is>
      </c>
      <c r="B554" s="1" t="n">
        <v>45479</v>
      </c>
      <c r="C554" s="1" t="n">
        <v>45626</v>
      </c>
      <c r="D554" t="inlineStr">
        <is>
          <t>NORRBOTTENS LÄN</t>
        </is>
      </c>
      <c r="E554" t="inlineStr">
        <is>
          <t>ÄLVSBYN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29110-2024</t>
        </is>
      </c>
      <c r="B555" s="1" t="n">
        <v>45482</v>
      </c>
      <c r="C555" s="1" t="n">
        <v>45626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29112-2024</t>
        </is>
      </c>
      <c r="B556" s="1" t="n">
        <v>45482</v>
      </c>
      <c r="C556" s="1" t="n">
        <v>45626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29111-2024</t>
        </is>
      </c>
      <c r="B557" s="1" t="n">
        <v>45482</v>
      </c>
      <c r="C557" s="1" t="n">
        <v>45626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29683-2024</t>
        </is>
      </c>
      <c r="B558" s="1" t="n">
        <v>45485</v>
      </c>
      <c r="C558" s="1" t="n">
        <v>45626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29682-2024</t>
        </is>
      </c>
      <c r="B559" s="1" t="n">
        <v>45485</v>
      </c>
      <c r="C559" s="1" t="n">
        <v>45626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30500-2024</t>
        </is>
      </c>
      <c r="B560" s="1" t="n">
        <v>45492</v>
      </c>
      <c r="C560" s="1" t="n">
        <v>45626</v>
      </c>
      <c r="D560" t="inlineStr">
        <is>
          <t>NORRBOTTENS LÄN</t>
        </is>
      </c>
      <c r="E560" t="inlineStr">
        <is>
          <t>ÄLVSBYN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30499-2024</t>
        </is>
      </c>
      <c r="B561" s="1" t="n">
        <v>45492</v>
      </c>
      <c r="C561" s="1" t="n">
        <v>45626</v>
      </c>
      <c r="D561" t="inlineStr">
        <is>
          <t>NORRBOTTENS LÄN</t>
        </is>
      </c>
      <c r="E561" t="inlineStr">
        <is>
          <t>ÄLVSBYN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30606-2024</t>
        </is>
      </c>
      <c r="B562" s="1" t="n">
        <v>45495</v>
      </c>
      <c r="C562" s="1" t="n">
        <v>45626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30690-2024</t>
        </is>
      </c>
      <c r="B563" s="1" t="n">
        <v>45496</v>
      </c>
      <c r="C563" s="1" t="n">
        <v>45626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30688-2024</t>
        </is>
      </c>
      <c r="B564" s="1" t="n">
        <v>45496</v>
      </c>
      <c r="C564" s="1" t="n">
        <v>45626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31452-2024</t>
        </is>
      </c>
      <c r="B565" s="1" t="n">
        <v>45505</v>
      </c>
      <c r="C565" s="1" t="n">
        <v>45626</v>
      </c>
      <c r="D565" t="inlineStr">
        <is>
          <t>NORRBOTTENS LÄN</t>
        </is>
      </c>
      <c r="E565" t="inlineStr">
        <is>
          <t>ÄLVSBYN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31553-2024</t>
        </is>
      </c>
      <c r="B566" s="1" t="n">
        <v>45505</v>
      </c>
      <c r="C566" s="1" t="n">
        <v>45626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31900-2024</t>
        </is>
      </c>
      <c r="B567" s="1" t="n">
        <v>45510</v>
      </c>
      <c r="C567" s="1" t="n">
        <v>45626</v>
      </c>
      <c r="D567" t="inlineStr">
        <is>
          <t>NORRBOTTENS LÄN</t>
        </is>
      </c>
      <c r="E567" t="inlineStr">
        <is>
          <t>ÄLVSBYN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32195-2024</t>
        </is>
      </c>
      <c r="B568" s="1" t="n">
        <v>45511</v>
      </c>
      <c r="C568" s="1" t="n">
        <v>45626</v>
      </c>
      <c r="D568" t="inlineStr">
        <is>
          <t>NORRBOTTENS LÄN</t>
        </is>
      </c>
      <c r="E568" t="inlineStr">
        <is>
          <t>ÄLVSBYN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32202-2024</t>
        </is>
      </c>
      <c r="B569" s="1" t="n">
        <v>45511</v>
      </c>
      <c r="C569" s="1" t="n">
        <v>45626</v>
      </c>
      <c r="D569" t="inlineStr">
        <is>
          <t>NORRBOTTENS LÄN</t>
        </is>
      </c>
      <c r="E569" t="inlineStr">
        <is>
          <t>ÄLVSBYN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32657-2024</t>
        </is>
      </c>
      <c r="B570" s="1" t="n">
        <v>45513</v>
      </c>
      <c r="C570" s="1" t="n">
        <v>45626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32642-2024</t>
        </is>
      </c>
      <c r="B571" s="1" t="n">
        <v>45514</v>
      </c>
      <c r="C571" s="1" t="n">
        <v>45626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32643-2024</t>
        </is>
      </c>
      <c r="B572" s="1" t="n">
        <v>45514</v>
      </c>
      <c r="C572" s="1" t="n">
        <v>45626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32905-2024</t>
        </is>
      </c>
      <c r="B573" s="1" t="n">
        <v>45516</v>
      </c>
      <c r="C573" s="1" t="n">
        <v>45626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32952-2024</t>
        </is>
      </c>
      <c r="B574" s="1" t="n">
        <v>45517</v>
      </c>
      <c r="C574" s="1" t="n">
        <v>45626</v>
      </c>
      <c r="D574" t="inlineStr">
        <is>
          <t>NORRBOTTENS LÄN</t>
        </is>
      </c>
      <c r="E574" t="inlineStr">
        <is>
          <t>ÄLVSBYN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32955-2024</t>
        </is>
      </c>
      <c r="B575" s="1" t="n">
        <v>45517</v>
      </c>
      <c r="C575" s="1" t="n">
        <v>45626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33303-2024</t>
        </is>
      </c>
      <c r="B576" s="1" t="n">
        <v>45519</v>
      </c>
      <c r="C576" s="1" t="n">
        <v>45626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33234-2024</t>
        </is>
      </c>
      <c r="B577" s="1" t="n">
        <v>45518</v>
      </c>
      <c r="C577" s="1" t="n">
        <v>45626</v>
      </c>
      <c r="D577" t="inlineStr">
        <is>
          <t>NORRBOTTENS LÄN</t>
        </is>
      </c>
      <c r="E577" t="inlineStr">
        <is>
          <t>ÄLVSBYN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33336-2024</t>
        </is>
      </c>
      <c r="B578" s="1" t="n">
        <v>45519</v>
      </c>
      <c r="C578" s="1" t="n">
        <v>45626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33946-2024</t>
        </is>
      </c>
      <c r="B579" s="1" t="n">
        <v>45523</v>
      </c>
      <c r="C579" s="1" t="n">
        <v>45626</v>
      </c>
      <c r="D579" t="inlineStr">
        <is>
          <t>NORRBOTTENS LÄN</t>
        </is>
      </c>
      <c r="E579" t="inlineStr">
        <is>
          <t>ÄLVSBYN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34356-2024</t>
        </is>
      </c>
      <c r="B580" s="1" t="n">
        <v>45525</v>
      </c>
      <c r="C580" s="1" t="n">
        <v>45626</v>
      </c>
      <c r="D580" t="inlineStr">
        <is>
          <t>NORRBOTTENS LÄN</t>
        </is>
      </c>
      <c r="E580" t="inlineStr">
        <is>
          <t>ÄLVSBYN</t>
        </is>
      </c>
      <c r="F580" t="inlineStr">
        <is>
          <t>Övriga Aktiebolag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34448-2024</t>
        </is>
      </c>
      <c r="B581" s="1" t="n">
        <v>45525</v>
      </c>
      <c r="C581" s="1" t="n">
        <v>45626</v>
      </c>
      <c r="D581" t="inlineStr">
        <is>
          <t>NORRBOTTENS LÄN</t>
        </is>
      </c>
      <c r="E581" t="inlineStr">
        <is>
          <t>ÄLVSBYN</t>
        </is>
      </c>
      <c r="F581" t="inlineStr">
        <is>
          <t>Övriga Aktiebolag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34693-2024</t>
        </is>
      </c>
      <c r="B582" s="1" t="n">
        <v>45526</v>
      </c>
      <c r="C582" s="1" t="n">
        <v>45626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35538-2024</t>
        </is>
      </c>
      <c r="B583" s="1" t="n">
        <v>45531</v>
      </c>
      <c r="C583" s="1" t="n">
        <v>45626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35877-2024</t>
        </is>
      </c>
      <c r="B584" s="1" t="n">
        <v>45533</v>
      </c>
      <c r="C584" s="1" t="n">
        <v>45626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37291-2024</t>
        </is>
      </c>
      <c r="B585" s="1" t="n">
        <v>45540</v>
      </c>
      <c r="C585" s="1" t="n">
        <v>45626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37412-2024</t>
        </is>
      </c>
      <c r="B586" s="1" t="n">
        <v>45540</v>
      </c>
      <c r="C586" s="1" t="n">
        <v>45626</v>
      </c>
      <c r="D586" t="inlineStr">
        <is>
          <t>NORRBOTTENS LÄN</t>
        </is>
      </c>
      <c r="E586" t="inlineStr">
        <is>
          <t>ÄLVSBYN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37407-2024</t>
        </is>
      </c>
      <c r="B587" s="1" t="n">
        <v>45540</v>
      </c>
      <c r="C587" s="1" t="n">
        <v>45626</v>
      </c>
      <c r="D587" t="inlineStr">
        <is>
          <t>NORRBOTTENS LÄN</t>
        </is>
      </c>
      <c r="E587" t="inlineStr">
        <is>
          <t>ÄLVSBYN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37740-2024</t>
        </is>
      </c>
      <c r="B588" s="1" t="n">
        <v>45541</v>
      </c>
      <c r="C588" s="1" t="n">
        <v>45626</v>
      </c>
      <c r="D588" t="inlineStr">
        <is>
          <t>NORRBOTTENS LÄN</t>
        </is>
      </c>
      <c r="E588" t="inlineStr">
        <is>
          <t>ÄLVSBYN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37744-2024</t>
        </is>
      </c>
      <c r="B589" s="1" t="n">
        <v>45541</v>
      </c>
      <c r="C589" s="1" t="n">
        <v>45626</v>
      </c>
      <c r="D589" t="inlineStr">
        <is>
          <t>NORRBOTTENS LÄN</t>
        </is>
      </c>
      <c r="E589" t="inlineStr">
        <is>
          <t>ÄLVSBYN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37743-2024</t>
        </is>
      </c>
      <c r="B590" s="1" t="n">
        <v>45541</v>
      </c>
      <c r="C590" s="1" t="n">
        <v>45626</v>
      </c>
      <c r="D590" t="inlineStr">
        <is>
          <t>NORRBOTTENS LÄN</t>
        </is>
      </c>
      <c r="E590" t="inlineStr">
        <is>
          <t>ÄLVSBYN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37741-2024</t>
        </is>
      </c>
      <c r="B591" s="1" t="n">
        <v>45541</v>
      </c>
      <c r="C591" s="1" t="n">
        <v>45626</v>
      </c>
      <c r="D591" t="inlineStr">
        <is>
          <t>NORRBOTTENS LÄN</t>
        </is>
      </c>
      <c r="E591" t="inlineStr">
        <is>
          <t>ÄLVSBYN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37745-2024</t>
        </is>
      </c>
      <c r="B592" s="1" t="n">
        <v>45541</v>
      </c>
      <c r="C592" s="1" t="n">
        <v>45626</v>
      </c>
      <c r="D592" t="inlineStr">
        <is>
          <t>NORRBOTTENS LÄN</t>
        </is>
      </c>
      <c r="E592" t="inlineStr">
        <is>
          <t>ÄLVSBYN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38254-2024</t>
        </is>
      </c>
      <c r="B593" s="1" t="n">
        <v>45545</v>
      </c>
      <c r="C593" s="1" t="n">
        <v>45626</v>
      </c>
      <c r="D593" t="inlineStr">
        <is>
          <t>NORRBOTTENS LÄN</t>
        </is>
      </c>
      <c r="E593" t="inlineStr">
        <is>
          <t>ÄLVSBYN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38311-2024</t>
        </is>
      </c>
      <c r="B594" s="1" t="n">
        <v>45545</v>
      </c>
      <c r="C594" s="1" t="n">
        <v>45626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38682-2024</t>
        </is>
      </c>
      <c r="B595" s="1" t="n">
        <v>45547</v>
      </c>
      <c r="C595" s="1" t="n">
        <v>45626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38999-2024</t>
        </is>
      </c>
      <c r="B596" s="1" t="n">
        <v>45548</v>
      </c>
      <c r="C596" s="1" t="n">
        <v>45626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39020-2024</t>
        </is>
      </c>
      <c r="B597" s="1" t="n">
        <v>45548</v>
      </c>
      <c r="C597" s="1" t="n">
        <v>45626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39267-2024</t>
        </is>
      </c>
      <c r="B598" s="1" t="n">
        <v>45551</v>
      </c>
      <c r="C598" s="1" t="n">
        <v>45626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39604-2024</t>
        </is>
      </c>
      <c r="B599" s="1" t="n">
        <v>45552</v>
      </c>
      <c r="C599" s="1" t="n">
        <v>45626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39645-2024</t>
        </is>
      </c>
      <c r="B600" s="1" t="n">
        <v>45552</v>
      </c>
      <c r="C600" s="1" t="n">
        <v>45626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39668-2024</t>
        </is>
      </c>
      <c r="B601" s="1" t="n">
        <v>45552</v>
      </c>
      <c r="C601" s="1" t="n">
        <v>45626</v>
      </c>
      <c r="D601" t="inlineStr">
        <is>
          <t>NORRBOTTENS LÄN</t>
        </is>
      </c>
      <c r="E601" t="inlineStr">
        <is>
          <t>ÄLVSBYN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40284-2024</t>
        </is>
      </c>
      <c r="B602" s="1" t="n">
        <v>45554</v>
      </c>
      <c r="C602" s="1" t="n">
        <v>45626</v>
      </c>
      <c r="D602" t="inlineStr">
        <is>
          <t>NORRBOTTENS LÄN</t>
        </is>
      </c>
      <c r="E602" t="inlineStr">
        <is>
          <t>ÄLVSBYN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40282-2024</t>
        </is>
      </c>
      <c r="B603" s="1" t="n">
        <v>45554</v>
      </c>
      <c r="C603" s="1" t="n">
        <v>45626</v>
      </c>
      <c r="D603" t="inlineStr">
        <is>
          <t>NORRBOTTENS LÄN</t>
        </is>
      </c>
      <c r="E603" t="inlineStr">
        <is>
          <t>ÄLVSBYN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41025-2024</t>
        </is>
      </c>
      <c r="B604" s="1" t="n">
        <v>45559</v>
      </c>
      <c r="C604" s="1" t="n">
        <v>45626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41845-2024</t>
        </is>
      </c>
      <c r="B605" s="1" t="n">
        <v>45561</v>
      </c>
      <c r="C605" s="1" t="n">
        <v>45626</v>
      </c>
      <c r="D605" t="inlineStr">
        <is>
          <t>NORRBOTTENS LÄN</t>
        </is>
      </c>
      <c r="E605" t="inlineStr">
        <is>
          <t>ÄLVSBYN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41989-2024</t>
        </is>
      </c>
      <c r="B606" s="1" t="n">
        <v>45561</v>
      </c>
      <c r="C606" s="1" t="n">
        <v>45626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41964-2024</t>
        </is>
      </c>
      <c r="B607" s="1" t="n">
        <v>45561</v>
      </c>
      <c r="C607" s="1" t="n">
        <v>45626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42255-2024</t>
        </is>
      </c>
      <c r="B608" s="1" t="n">
        <v>45562</v>
      </c>
      <c r="C608" s="1" t="n">
        <v>45626</v>
      </c>
      <c r="D608" t="inlineStr">
        <is>
          <t>NORRBOTTENS LÄN</t>
        </is>
      </c>
      <c r="E608" t="inlineStr">
        <is>
          <t>ÄLVSBYN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42252-2024</t>
        </is>
      </c>
      <c r="B609" s="1" t="n">
        <v>45562</v>
      </c>
      <c r="C609" s="1" t="n">
        <v>45626</v>
      </c>
      <c r="D609" t="inlineStr">
        <is>
          <t>NORRBOTTENS LÄN</t>
        </is>
      </c>
      <c r="E609" t="inlineStr">
        <is>
          <t>ÄLVSBYN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42444-2024</t>
        </is>
      </c>
      <c r="B610" s="1" t="n">
        <v>45565</v>
      </c>
      <c r="C610" s="1" t="n">
        <v>45626</v>
      </c>
      <c r="D610" t="inlineStr">
        <is>
          <t>NORRBOTTENS LÄN</t>
        </is>
      </c>
      <c r="E610" t="inlineStr">
        <is>
          <t>ÄLVSBYN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42477-2024</t>
        </is>
      </c>
      <c r="B611" s="1" t="n">
        <v>45565</v>
      </c>
      <c r="C611" s="1" t="n">
        <v>45626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42499-2024</t>
        </is>
      </c>
      <c r="B612" s="1" t="n">
        <v>45565</v>
      </c>
      <c r="C612" s="1" t="n">
        <v>45626</v>
      </c>
      <c r="D612" t="inlineStr">
        <is>
          <t>NORRBOTTENS LÄN</t>
        </is>
      </c>
      <c r="E612" t="inlineStr">
        <is>
          <t>ÄLVSBYN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42568-2024</t>
        </is>
      </c>
      <c r="B613" s="1" t="n">
        <v>45565</v>
      </c>
      <c r="C613" s="1" t="n">
        <v>45626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42505-2024</t>
        </is>
      </c>
      <c r="B614" s="1" t="n">
        <v>45565</v>
      </c>
      <c r="C614" s="1" t="n">
        <v>45626</v>
      </c>
      <c r="D614" t="inlineStr">
        <is>
          <t>NORRBOTTENS LÄN</t>
        </is>
      </c>
      <c r="E614" t="inlineStr">
        <is>
          <t>ÄLVSBYN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42574-2024</t>
        </is>
      </c>
      <c r="B615" s="1" t="n">
        <v>45565</v>
      </c>
      <c r="C615" s="1" t="n">
        <v>45626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42483-2024</t>
        </is>
      </c>
      <c r="B616" s="1" t="n">
        <v>45565</v>
      </c>
      <c r="C616" s="1" t="n">
        <v>45626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42558-2024</t>
        </is>
      </c>
      <c r="B617" s="1" t="n">
        <v>45565</v>
      </c>
      <c r="C617" s="1" t="n">
        <v>45626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42475-2024</t>
        </is>
      </c>
      <c r="B618" s="1" t="n">
        <v>45565</v>
      </c>
      <c r="C618" s="1" t="n">
        <v>45626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42506-2024</t>
        </is>
      </c>
      <c r="B619" s="1" t="n">
        <v>45565</v>
      </c>
      <c r="C619" s="1" t="n">
        <v>45626</v>
      </c>
      <c r="D619" t="inlineStr">
        <is>
          <t>NORRBOTTENS LÄN</t>
        </is>
      </c>
      <c r="E619" t="inlineStr">
        <is>
          <t>ÄLVSBYN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42723-2024</t>
        </is>
      </c>
      <c r="B620" s="1" t="n">
        <v>45566</v>
      </c>
      <c r="C620" s="1" t="n">
        <v>45626</v>
      </c>
      <c r="D620" t="inlineStr">
        <is>
          <t>NORRBOTTENS LÄN</t>
        </is>
      </c>
      <c r="E620" t="inlineStr">
        <is>
          <t>ÄLVSBYN</t>
        </is>
      </c>
      <c r="F620" t="inlineStr">
        <is>
          <t>Övriga Aktiebolag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42955-2024</t>
        </is>
      </c>
      <c r="B621" s="1" t="n">
        <v>45567</v>
      </c>
      <c r="C621" s="1" t="n">
        <v>45626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43775-2024</t>
        </is>
      </c>
      <c r="B622" s="1" t="n">
        <v>45570</v>
      </c>
      <c r="C622" s="1" t="n">
        <v>45626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43776-2024</t>
        </is>
      </c>
      <c r="B623" s="1" t="n">
        <v>45570</v>
      </c>
      <c r="C623" s="1" t="n">
        <v>45626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44365-2024</t>
        </is>
      </c>
      <c r="B624" s="1" t="n">
        <v>45573</v>
      </c>
      <c r="C624" s="1" t="n">
        <v>45626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44348-2024</t>
        </is>
      </c>
      <c r="B625" s="1" t="n">
        <v>45573</v>
      </c>
      <c r="C625" s="1" t="n">
        <v>45626</v>
      </c>
      <c r="D625" t="inlineStr">
        <is>
          <t>NORRBOTTENS LÄN</t>
        </is>
      </c>
      <c r="E625" t="inlineStr">
        <is>
          <t>ÄLVSBYN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44213-2024</t>
        </is>
      </c>
      <c r="B626" s="1" t="n">
        <v>45573</v>
      </c>
      <c r="C626" s="1" t="n">
        <v>45626</v>
      </c>
      <c r="D626" t="inlineStr">
        <is>
          <t>NORRBOTTENS LÄN</t>
        </is>
      </c>
      <c r="E626" t="inlineStr">
        <is>
          <t>ÄLVSBYN</t>
        </is>
      </c>
      <c r="G626" t="n">
        <v>13.5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44629-2024</t>
        </is>
      </c>
      <c r="B627" s="1" t="n">
        <v>45574</v>
      </c>
      <c r="C627" s="1" t="n">
        <v>45626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45302-2024</t>
        </is>
      </c>
      <c r="B628" s="1" t="n">
        <v>45576</v>
      </c>
      <c r="C628" s="1" t="n">
        <v>45626</v>
      </c>
      <c r="D628" t="inlineStr">
        <is>
          <t>NORRBOTTENS LÄN</t>
        </is>
      </c>
      <c r="E628" t="inlineStr">
        <is>
          <t>ÄLVSBYN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45808-2024</t>
        </is>
      </c>
      <c r="B629" s="1" t="n">
        <v>45579</v>
      </c>
      <c r="C629" s="1" t="n">
        <v>45626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45724-2024</t>
        </is>
      </c>
      <c r="B630" s="1" t="n">
        <v>45579</v>
      </c>
      <c r="C630" s="1" t="n">
        <v>45626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45949-2024</t>
        </is>
      </c>
      <c r="B631" s="1" t="n">
        <v>45580</v>
      </c>
      <c r="C631" s="1" t="n">
        <v>45626</v>
      </c>
      <c r="D631" t="inlineStr">
        <is>
          <t>NORRBOTTENS LÄN</t>
        </is>
      </c>
      <c r="E631" t="inlineStr">
        <is>
          <t>ÄLVSBYN</t>
        </is>
      </c>
      <c r="G631" t="n">
        <v>15.2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46784-2024</t>
        </is>
      </c>
      <c r="B632" s="1" t="n">
        <v>45583</v>
      </c>
      <c r="C632" s="1" t="n">
        <v>45626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46838-2024</t>
        </is>
      </c>
      <c r="B633" s="1" t="n">
        <v>45583</v>
      </c>
      <c r="C633" s="1" t="n">
        <v>45626</v>
      </c>
      <c r="D633" t="inlineStr">
        <is>
          <t>NORRBOTTENS LÄN</t>
        </is>
      </c>
      <c r="E633" t="inlineStr">
        <is>
          <t>ÄLVSBYN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46786-2024</t>
        </is>
      </c>
      <c r="B634" s="1" t="n">
        <v>45583</v>
      </c>
      <c r="C634" s="1" t="n">
        <v>45626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47370-2024</t>
        </is>
      </c>
      <c r="B635" s="1" t="n">
        <v>45587</v>
      </c>
      <c r="C635" s="1" t="n">
        <v>45626</v>
      </c>
      <c r="D635" t="inlineStr">
        <is>
          <t>NORRBOTTENS LÄN</t>
        </is>
      </c>
      <c r="E635" t="inlineStr">
        <is>
          <t>ÄLVSBYN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47394-2024</t>
        </is>
      </c>
      <c r="B636" s="1" t="n">
        <v>45587</v>
      </c>
      <c r="C636" s="1" t="n">
        <v>45626</v>
      </c>
      <c r="D636" t="inlineStr">
        <is>
          <t>NORRBOTTENS LÄN</t>
        </is>
      </c>
      <c r="E636" t="inlineStr">
        <is>
          <t>ÄLVSBYN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47373-2024</t>
        </is>
      </c>
      <c r="B637" s="1" t="n">
        <v>45587</v>
      </c>
      <c r="C637" s="1" t="n">
        <v>45626</v>
      </c>
      <c r="D637" t="inlineStr">
        <is>
          <t>NORRBOTTENS LÄN</t>
        </is>
      </c>
      <c r="E637" t="inlineStr">
        <is>
          <t>ÄLVSBYN</t>
        </is>
      </c>
      <c r="G637" t="n">
        <v>10.7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47369-2024</t>
        </is>
      </c>
      <c r="B638" s="1" t="n">
        <v>45587</v>
      </c>
      <c r="C638" s="1" t="n">
        <v>45626</v>
      </c>
      <c r="D638" t="inlineStr">
        <is>
          <t>NORRBOTTENS LÄN</t>
        </is>
      </c>
      <c r="E638" t="inlineStr">
        <is>
          <t>ÄLVSBYN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47371-2024</t>
        </is>
      </c>
      <c r="B639" s="1" t="n">
        <v>45587</v>
      </c>
      <c r="C639" s="1" t="n">
        <v>45626</v>
      </c>
      <c r="D639" t="inlineStr">
        <is>
          <t>NORRBOTTENS LÄN</t>
        </is>
      </c>
      <c r="E639" t="inlineStr">
        <is>
          <t>ÄLVSBYN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47372-2024</t>
        </is>
      </c>
      <c r="B640" s="1" t="n">
        <v>45587</v>
      </c>
      <c r="C640" s="1" t="n">
        <v>45626</v>
      </c>
      <c r="D640" t="inlineStr">
        <is>
          <t>NORRBOTTENS LÄN</t>
        </is>
      </c>
      <c r="E640" t="inlineStr">
        <is>
          <t>ÄLVSBYN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47752-2024</t>
        </is>
      </c>
      <c r="B641" s="1" t="n">
        <v>45588</v>
      </c>
      <c r="C641" s="1" t="n">
        <v>45626</v>
      </c>
      <c r="D641" t="inlineStr">
        <is>
          <t>NORRBOTTENS LÄN</t>
        </is>
      </c>
      <c r="E641" t="inlineStr">
        <is>
          <t>ÄLVSBYN</t>
        </is>
      </c>
      <c r="F641" t="inlineStr">
        <is>
          <t>Övriga Aktiebolag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47756-2024</t>
        </is>
      </c>
      <c r="B642" s="1" t="n">
        <v>45588</v>
      </c>
      <c r="C642" s="1" t="n">
        <v>45626</v>
      </c>
      <c r="D642" t="inlineStr">
        <is>
          <t>NORRBOTTENS LÄN</t>
        </is>
      </c>
      <c r="E642" t="inlineStr">
        <is>
          <t>ÄLVSBYN</t>
        </is>
      </c>
      <c r="F642" t="inlineStr">
        <is>
          <t>Övriga Aktiebolag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48835-2024</t>
        </is>
      </c>
      <c r="B643" s="1" t="n">
        <v>45593</v>
      </c>
      <c r="C643" s="1" t="n">
        <v>45626</v>
      </c>
      <c r="D643" t="inlineStr">
        <is>
          <t>NORRBOTTENS LÄN</t>
        </is>
      </c>
      <c r="E643" t="inlineStr">
        <is>
          <t>ÄLVSBYN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50310-2024</t>
        </is>
      </c>
      <c r="B644" s="1" t="n">
        <v>45600</v>
      </c>
      <c r="C644" s="1" t="n">
        <v>45626</v>
      </c>
      <c r="D644" t="inlineStr">
        <is>
          <t>NORRBOTTENS LÄN</t>
        </is>
      </c>
      <c r="E644" t="inlineStr">
        <is>
          <t>ÄLVSBYN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50596-2024</t>
        </is>
      </c>
      <c r="B645" s="1" t="n">
        <v>45601</v>
      </c>
      <c r="C645" s="1" t="n">
        <v>45626</v>
      </c>
      <c r="D645" t="inlineStr">
        <is>
          <t>NORRBOTTENS LÄN</t>
        </is>
      </c>
      <c r="E645" t="inlineStr">
        <is>
          <t>ÄLVSBYN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50595-2024</t>
        </is>
      </c>
      <c r="B646" s="1" t="n">
        <v>45601</v>
      </c>
      <c r="C646" s="1" t="n">
        <v>45626</v>
      </c>
      <c r="D646" t="inlineStr">
        <is>
          <t>NORRBOTTENS LÄN</t>
        </is>
      </c>
      <c r="E646" t="inlineStr">
        <is>
          <t>ÄLVSBYN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50597-2024</t>
        </is>
      </c>
      <c r="B647" s="1" t="n">
        <v>45601</v>
      </c>
      <c r="C647" s="1" t="n">
        <v>45626</v>
      </c>
      <c r="D647" t="inlineStr">
        <is>
          <t>NORRBOTTENS LÄN</t>
        </is>
      </c>
      <c r="E647" t="inlineStr">
        <is>
          <t>ÄLVSBYN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50672-2024</t>
        </is>
      </c>
      <c r="B648" s="1" t="n">
        <v>45601</v>
      </c>
      <c r="C648" s="1" t="n">
        <v>45626</v>
      </c>
      <c r="D648" t="inlineStr">
        <is>
          <t>NORRBOTTENS LÄN</t>
        </is>
      </c>
      <c r="E648" t="inlineStr">
        <is>
          <t>ÄLVSBYN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50598-2024</t>
        </is>
      </c>
      <c r="B649" s="1" t="n">
        <v>45601</v>
      </c>
      <c r="C649" s="1" t="n">
        <v>45626</v>
      </c>
      <c r="D649" t="inlineStr">
        <is>
          <t>NORRBOTTENS LÄN</t>
        </is>
      </c>
      <c r="E649" t="inlineStr">
        <is>
          <t>ÄLVSBYN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50970-2024</t>
        </is>
      </c>
      <c r="B650" s="1" t="n">
        <v>45603</v>
      </c>
      <c r="C650" s="1" t="n">
        <v>45626</v>
      </c>
      <c r="D650" t="inlineStr">
        <is>
          <t>NORRBOTTENS LÄN</t>
        </is>
      </c>
      <c r="E650" t="inlineStr">
        <is>
          <t>ÄLVSBYN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50989-2024</t>
        </is>
      </c>
      <c r="B651" s="1" t="n">
        <v>45603</v>
      </c>
      <c r="C651" s="1" t="n">
        <v>45626</v>
      </c>
      <c r="D651" t="inlineStr">
        <is>
          <t>NORRBOTTENS LÄN</t>
        </is>
      </c>
      <c r="E651" t="inlineStr">
        <is>
          <t>ÄLVSBYN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51051-2024</t>
        </is>
      </c>
      <c r="B652" s="1" t="n">
        <v>45603</v>
      </c>
      <c r="C652" s="1" t="n">
        <v>45626</v>
      </c>
      <c r="D652" t="inlineStr">
        <is>
          <t>NORRBOTTENS LÄN</t>
        </is>
      </c>
      <c r="E652" t="inlineStr">
        <is>
          <t>ÄLVSBYN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51684-2024</t>
        </is>
      </c>
      <c r="B653" s="1" t="n">
        <v>45607</v>
      </c>
      <c r="C653" s="1" t="n">
        <v>45626</v>
      </c>
      <c r="D653" t="inlineStr">
        <is>
          <t>NORRBOTTENS LÄN</t>
        </is>
      </c>
      <c r="E653" t="inlineStr">
        <is>
          <t>ÄLVSBYN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51808-2024</t>
        </is>
      </c>
      <c r="B654" s="1" t="n">
        <v>45607</v>
      </c>
      <c r="C654" s="1" t="n">
        <v>45626</v>
      </c>
      <c r="D654" t="inlineStr">
        <is>
          <t>NORRBOTTENS LÄN</t>
        </is>
      </c>
      <c r="E654" t="inlineStr">
        <is>
          <t>ÄLVSBYN</t>
        </is>
      </c>
      <c r="G654" t="n">
        <v>19.7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45626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52907-2024</t>
        </is>
      </c>
      <c r="B656" s="1" t="n">
        <v>45610</v>
      </c>
      <c r="C656" s="1" t="n">
        <v>45626</v>
      </c>
      <c r="D656" t="inlineStr">
        <is>
          <t>NORRBOTTENS LÄN</t>
        </is>
      </c>
      <c r="E656" t="inlineStr">
        <is>
          <t>ÄLVSBYN</t>
        </is>
      </c>
      <c r="F656" t="inlineStr">
        <is>
          <t>SCA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54848-2024</t>
        </is>
      </c>
      <c r="B657" s="1" t="n">
        <v>45618</v>
      </c>
      <c r="C657" s="1" t="n">
        <v>45626</v>
      </c>
      <c r="D657" t="inlineStr">
        <is>
          <t>NORRBOTTENS LÄN</t>
        </is>
      </c>
      <c r="E657" t="inlineStr">
        <is>
          <t>ÄLVSBYN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54847-2024</t>
        </is>
      </c>
      <c r="B658" s="1" t="n">
        <v>45618</v>
      </c>
      <c r="C658" s="1" t="n">
        <v>45626</v>
      </c>
      <c r="D658" t="inlineStr">
        <is>
          <t>NORRBOTTENS LÄN</t>
        </is>
      </c>
      <c r="E658" t="inlineStr">
        <is>
          <t>ÄLVSBYN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55181-2024</t>
        </is>
      </c>
      <c r="B659" s="1" t="n">
        <v>45621</v>
      </c>
      <c r="C659" s="1" t="n">
        <v>45626</v>
      </c>
      <c r="D659" t="inlineStr">
        <is>
          <t>NORRBOTTENS LÄN</t>
        </is>
      </c>
      <c r="E659" t="inlineStr">
        <is>
          <t>ÄLVSBYN</t>
        </is>
      </c>
      <c r="F659" t="inlineStr">
        <is>
          <t>Kommuner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55078-2024</t>
        </is>
      </c>
      <c r="B660" s="1" t="n">
        <v>45621</v>
      </c>
      <c r="C660" s="1" t="n">
        <v>45626</v>
      </c>
      <c r="D660" t="inlineStr">
        <is>
          <t>NORRBOTTENS LÄN</t>
        </is>
      </c>
      <c r="E660" t="inlineStr">
        <is>
          <t>ÄLVSBYN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55225-2024</t>
        </is>
      </c>
      <c r="B661" s="1" t="n">
        <v>45621</v>
      </c>
      <c r="C661" s="1" t="n">
        <v>45626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55552-2024</t>
        </is>
      </c>
      <c r="B662" s="1" t="n">
        <v>45622</v>
      </c>
      <c r="C662" s="1" t="n">
        <v>45626</v>
      </c>
      <c r="D662" t="inlineStr">
        <is>
          <t>NORRBOTTENS LÄN</t>
        </is>
      </c>
      <c r="E662" t="inlineStr">
        <is>
          <t>ÄLVSBYN</t>
        </is>
      </c>
      <c r="F662" t="inlineStr">
        <is>
          <t>Övriga Aktiebolag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55798-2024</t>
        </is>
      </c>
      <c r="B663" s="1" t="n">
        <v>45623</v>
      </c>
      <c r="C663" s="1" t="n">
        <v>45626</v>
      </c>
      <c r="D663" t="inlineStr">
        <is>
          <t>NORRBOTTENS LÄN</t>
        </is>
      </c>
      <c r="E663" t="inlineStr">
        <is>
          <t>ÄLVSBYN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55960-2024</t>
        </is>
      </c>
      <c r="B664" s="1" t="n">
        <v>45623</v>
      </c>
      <c r="C664" s="1" t="n">
        <v>45626</v>
      </c>
      <c r="D664" t="inlineStr">
        <is>
          <t>NORRBOTTENS LÄN</t>
        </is>
      </c>
      <c r="E664" t="inlineStr">
        <is>
          <t>ÄLVSBYN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56230-2024</t>
        </is>
      </c>
      <c r="B665" s="1" t="n">
        <v>45624</v>
      </c>
      <c r="C665" s="1" t="n">
        <v>45626</v>
      </c>
      <c r="D665" t="inlineStr">
        <is>
          <t>NORRBOTTENS LÄN</t>
        </is>
      </c>
      <c r="E665" t="inlineStr">
        <is>
          <t>ÄLVSBYN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56243-2024</t>
        </is>
      </c>
      <c r="B666" s="1" t="n">
        <v>45624</v>
      </c>
      <c r="C666" s="1" t="n">
        <v>45626</v>
      </c>
      <c r="D666" t="inlineStr">
        <is>
          <t>NORRBOTTENS LÄN</t>
        </is>
      </c>
      <c r="E666" t="inlineStr">
        <is>
          <t>ÄLVSBYN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HYPERLINK("https://klasma.github.io/Logging_2560/knärot/A 56243-2024 karta knärot.png", "A 56243-2024")</f>
        <v/>
      </c>
      <c r="V666">
        <f>HYPERLINK("https://klasma.github.io/Logging_2560/klagomål/A 56243-2024 FSC-klagomål.docx", "A 56243-2024")</f>
        <v/>
      </c>
      <c r="W666">
        <f>HYPERLINK("https://klasma.github.io/Logging_2560/klagomålsmail/A 56243-2024 FSC-klagomål mail.docx", "A 56243-2024")</f>
        <v/>
      </c>
      <c r="X666">
        <f>HYPERLINK("https://klasma.github.io/Logging_2560/tillsyn/A 56243-2024 tillsynsbegäran.docx", "A 56243-2024")</f>
        <v/>
      </c>
      <c r="Y666">
        <f>HYPERLINK("https://klasma.github.io/Logging_2560/tillsynsmail/A 56243-2024 tillsynsbegäran mail.docx", "A 56243-2024")</f>
        <v/>
      </c>
    </row>
    <row r="667">
      <c r="A667" t="inlineStr">
        <is>
          <t>A 56551-2024</t>
        </is>
      </c>
      <c r="B667" s="1" t="n">
        <v>45625</v>
      </c>
      <c r="C667" s="1" t="n">
        <v>45626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2024-11-30T18:50:01Z</dcterms:created>
  <dcterms:modified xmlns:dcterms="http://purl.org/dc/terms/" xmlns:xsi="http://www.w3.org/2001/XMLSchema-instance" xsi:type="dcterms:W3CDTF">2024-11-30T18:50:02Z</dcterms:modified>
</cp:coreProperties>
</file>