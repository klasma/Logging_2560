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45753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45753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45753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45753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45753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45753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45753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45753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45753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45753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45753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45753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Bollvitmossa
Stuplav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45320-2024</t>
        </is>
      </c>
      <c r="B14" s="1" t="n">
        <v>45576</v>
      </c>
      <c r="C14" s="1" t="n">
        <v>45753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7.8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Dvärgbägarlav
Garnlav
Kolflarnlav
Motaggsvamp
Talltita
Vaddporing
Vedflamlav
Vedskivlav
Dropptaggsvamp
Skarp dropptaggsvamp</t>
        </is>
      </c>
      <c r="S14">
        <f>HYPERLINK("https://klasma.github.io/Logging_2560/artfynd/A 45320-2024 artfynd.xlsx", "A 45320-2024")</f>
        <v/>
      </c>
      <c r="T14">
        <f>HYPERLINK("https://klasma.github.io/Logging_2560/kartor/A 45320-2024 karta.png", "A 45320-2024")</f>
        <v/>
      </c>
      <c r="V14">
        <f>HYPERLINK("https://klasma.github.io/Logging_2560/klagomål/A 45320-2024 FSC-klagomål.docx", "A 45320-2024")</f>
        <v/>
      </c>
      <c r="W14">
        <f>HYPERLINK("https://klasma.github.io/Logging_2560/klagomålsmail/A 45320-2024 FSC-klagomål mail.docx", "A 45320-2024")</f>
        <v/>
      </c>
      <c r="X14">
        <f>HYPERLINK("https://klasma.github.io/Logging_2560/tillsyn/A 45320-2024 tillsynsbegäran.docx", "A 45320-2024")</f>
        <v/>
      </c>
      <c r="Y14">
        <f>HYPERLINK("https://klasma.github.io/Logging_2560/tillsynsmail/A 45320-2024 tillsynsbegäran mail.docx", "A 45320-2024")</f>
        <v/>
      </c>
      <c r="Z14">
        <f>HYPERLINK("https://klasma.github.io/Logging_2560/fåglar/A 45320-2024 prioriterade fågelarter.docx", "A 45320-2024")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45753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3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Knärot
Fjällvråk
Gammelgransskål
Garnlav
Knottrig blåslav
Spillkråka
Vitgrynig nållav
Källpraktmossa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26731-2024</t>
        </is>
      </c>
      <c r="B16" s="1" t="n">
        <v>45470</v>
      </c>
      <c r="C16" s="1" t="n">
        <v>45753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1.4</v>
      </c>
      <c r="H16" t="n">
        <v>0</v>
      </c>
      <c r="I16" t="n">
        <v>2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7</v>
      </c>
      <c r="R16" s="2" t="inlineStr">
        <is>
          <t>Lakritsmusseron
Tajgataggsvamp
Orange taggsvamp
Svartvit taggsvamp
Tallriska
Dropptaggsvamp
Skarp dropptaggsvamp</t>
        </is>
      </c>
      <c r="S16">
        <f>HYPERLINK("https://klasma.github.io/Logging_2560/artfynd/A 26731-2024 artfynd.xlsx", "A 26731-2024")</f>
        <v/>
      </c>
      <c r="T16">
        <f>HYPERLINK("https://klasma.github.io/Logging_2560/kartor/A 26731-2024 karta.png", "A 26731-2024")</f>
        <v/>
      </c>
      <c r="V16">
        <f>HYPERLINK("https://klasma.github.io/Logging_2560/klagomål/A 26731-2024 FSC-klagomål.docx", "A 26731-2024")</f>
        <v/>
      </c>
      <c r="W16">
        <f>HYPERLINK("https://klasma.github.io/Logging_2560/klagomålsmail/A 26731-2024 FSC-klagomål mail.docx", "A 26731-2024")</f>
        <v/>
      </c>
      <c r="X16">
        <f>HYPERLINK("https://klasma.github.io/Logging_2560/tillsyn/A 26731-2024 tillsynsbegäran.docx", "A 26731-2024")</f>
        <v/>
      </c>
      <c r="Y16">
        <f>HYPERLINK("https://klasma.github.io/Logging_2560/tillsynsmail/A 26731-2024 tillsynsbegäran mail.docx", "A 26731-2024")</f>
        <v/>
      </c>
    </row>
    <row r="17" ht="15" customHeight="1">
      <c r="A17" t="inlineStr">
        <is>
          <t>A 586-2024</t>
        </is>
      </c>
      <c r="B17" s="1" t="n">
        <v>45299</v>
      </c>
      <c r="C17" s="1" t="n">
        <v>45753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19.5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Goliatmusseron
Blå taggsvamp
Motaggsvamp
Orange taggsvamp
Svart taggsvamp
Skarp dropptaggsvamp</t>
        </is>
      </c>
      <c r="S17">
        <f>HYPERLINK("https://klasma.github.io/Logging_2560/artfynd/A 586-2024 artfynd.xlsx", "A 586-2024")</f>
        <v/>
      </c>
      <c r="T17">
        <f>HYPERLINK("https://klasma.github.io/Logging_2560/kartor/A 586-2024 karta.png", "A 586-2024")</f>
        <v/>
      </c>
      <c r="V17">
        <f>HYPERLINK("https://klasma.github.io/Logging_2560/klagomål/A 586-2024 FSC-klagomål.docx", "A 586-2024")</f>
        <v/>
      </c>
      <c r="W17">
        <f>HYPERLINK("https://klasma.github.io/Logging_2560/klagomålsmail/A 586-2024 FSC-klagomål mail.docx", "A 586-2024")</f>
        <v/>
      </c>
      <c r="X17">
        <f>HYPERLINK("https://klasma.github.io/Logging_2560/tillsyn/A 586-2024 tillsynsbegäran.docx", "A 586-2024")</f>
        <v/>
      </c>
      <c r="Y17">
        <f>HYPERLINK("https://klasma.github.io/Logging_2560/tillsynsmail/A 586-2024 tillsynsbegäran mail.docx", "A 586-2024")</f>
        <v/>
      </c>
    </row>
    <row r="18" ht="15" customHeight="1">
      <c r="A18" t="inlineStr">
        <is>
          <t>A 26736-2024</t>
        </is>
      </c>
      <c r="B18" s="1" t="n">
        <v>45470</v>
      </c>
      <c r="C18" s="1" t="n">
        <v>45753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26736-2024 artfynd.xlsx", "A 26736-2024")</f>
        <v/>
      </c>
      <c r="T18">
        <f>HYPERLINK("https://klasma.github.io/Logging_2560/kartor/A 26736-2024 karta.png", "A 26736-2024")</f>
        <v/>
      </c>
      <c r="V18">
        <f>HYPERLINK("https://klasma.github.io/Logging_2560/klagomål/A 26736-2024 FSC-klagomål.docx", "A 26736-2024")</f>
        <v/>
      </c>
      <c r="W18">
        <f>HYPERLINK("https://klasma.github.io/Logging_2560/klagomålsmail/A 26736-2024 FSC-klagomål mail.docx", "A 26736-2024")</f>
        <v/>
      </c>
      <c r="X18">
        <f>HYPERLINK("https://klasma.github.io/Logging_2560/tillsyn/A 26736-2024 tillsynsbegäran.docx", "A 26736-2024")</f>
        <v/>
      </c>
      <c r="Y18">
        <f>HYPERLINK("https://klasma.github.io/Logging_2560/tillsynsmail/A 26736-2024 tillsynsbegäran mail.docx", "A 26736-2024")</f>
        <v/>
      </c>
    </row>
    <row r="19" ht="15" customHeight="1">
      <c r="A19" t="inlineStr">
        <is>
          <t>A 26968-2024</t>
        </is>
      </c>
      <c r="B19" s="1" t="n">
        <v>45471</v>
      </c>
      <c r="C19" s="1" t="n">
        <v>45753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Smalfotad taggsvamp
Blå taggsvamp
Orange taggsvamp
Svart taggsvamp
Svartvit taggsvamp
Tallriska</t>
        </is>
      </c>
      <c r="S19">
        <f>HYPERLINK("https://klasma.github.io/Logging_2560/artfynd/A 26968-2024 artfynd.xlsx", "A 26968-2024")</f>
        <v/>
      </c>
      <c r="T19">
        <f>HYPERLINK("https://klasma.github.io/Logging_2560/kartor/A 26968-2024 karta.png", "A 26968-2024")</f>
        <v/>
      </c>
      <c r="V19">
        <f>HYPERLINK("https://klasma.github.io/Logging_2560/klagomål/A 26968-2024 FSC-klagomål.docx", "A 26968-2024")</f>
        <v/>
      </c>
      <c r="W19">
        <f>HYPERLINK("https://klasma.github.io/Logging_2560/klagomålsmail/A 26968-2024 FSC-klagomål mail.docx", "A 26968-2024")</f>
        <v/>
      </c>
      <c r="X19">
        <f>HYPERLINK("https://klasma.github.io/Logging_2560/tillsyn/A 26968-2024 tillsynsbegäran.docx", "A 26968-2024")</f>
        <v/>
      </c>
      <c r="Y19">
        <f>HYPERLINK("https://klasma.github.io/Logging_2560/tillsynsmail/A 26968-2024 tillsynsbegäran mail.docx", "A 26968-2024")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45753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45753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45753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45753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45753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45753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45753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45753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45753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45753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45753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45753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45753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45753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45753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45753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45753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45753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45753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45753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45753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45753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45753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45753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45753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45753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45753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45753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45753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45753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45753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45753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45753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45753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45753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45753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45753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45753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45753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45753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45753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45753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45753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45753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45753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45753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45753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45753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45753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45753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45753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45753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45753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45753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45753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45753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45753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45753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45753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45753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45753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45753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45753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45753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45753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45753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45753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45753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45753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45753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45753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45753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45753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45753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45753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45753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45753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45753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45753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45753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45753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45753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45753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45753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45753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45753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45753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45753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45753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45753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45753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45753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45753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45753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45753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45753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45753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45753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45753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45753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45753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45753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45753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45753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45753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45753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45753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45753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45753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45753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45753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45753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45753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45753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45753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45753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45753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45753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45753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45753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45753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45753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45753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45753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45753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45753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45753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45753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45753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45753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45753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45753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45753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45753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45753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45753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45753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45753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45753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45753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45753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45753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45753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45753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45753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45753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45753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45753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45753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45753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45753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45753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45753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45753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45753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45753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45753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45753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45753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45753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45753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45753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45753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45753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45753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45753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45753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45753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45753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45753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45753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45753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45753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45753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45753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45753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45753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45753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45753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45753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45753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45753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45753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45753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45753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45753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45753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45753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45753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45753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45753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45753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45753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45753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45753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45753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45753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45753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45753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45753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45753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45753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45753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45753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45753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45753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45753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45753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45753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45753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45753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45753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45753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45753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45753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45753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45753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45753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45753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45753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45753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45753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45753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45753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45753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45753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45753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45753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45753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45753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45753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45753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45753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45753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45753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45753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45753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45753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45753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45753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45753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45753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45753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45753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45753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45753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45753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45753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45753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45753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45753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45753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45753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45753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45753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45753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45753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45753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45753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45753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45753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45753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45753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45753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45753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45753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45753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45753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45753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45753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45753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45753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45753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45753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45753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45753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45753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45753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45753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45753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45753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45753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45753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45753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45753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45753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45753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45753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45753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45753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45753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45753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45753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45753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45753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45753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45753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45753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45753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45753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45753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45753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45753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45753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45753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45753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45753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45753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45753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45753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45753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45753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45753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45753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45753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45753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45753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45753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45753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45753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45753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45753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45753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45753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45753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45753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45753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45753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45753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45753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45753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45753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45753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45753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45753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45753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45753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45753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45753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45753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45753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45753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45753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45753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45753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45753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45753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45753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45753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45753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45753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45753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45753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45753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45753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45753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45753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45753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45753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45753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45753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45753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45753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45753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45753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45753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45753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45753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45753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45753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45753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45753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45753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45753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45753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45753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45753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45753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45753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45753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45753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45753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45753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45753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45753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45753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45753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45753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45753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45753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45753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45753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45753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45753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45753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45753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45753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45753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45753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45753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45753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45753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45753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45753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45753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45753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45753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45753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45753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45753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45753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45753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45753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45753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45753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45753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45753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45753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45753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45753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45753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45753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45753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45753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45753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45753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45753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45753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45753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45753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45753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45753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45753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45753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45753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45753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45753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45753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45753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45753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45753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45753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45753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45753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45753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45753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45753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45753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45753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45753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45753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45753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45753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45753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45753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45753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45753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45753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45753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45753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45753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45753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45753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45753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45753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45753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45753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45753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45753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45753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45753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45753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45753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45753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45753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45753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45753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45753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45753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45753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45753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45753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45753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45753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45753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45753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45753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45753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45753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45753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45753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45753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45753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45753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45753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45753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45753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45753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45753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45753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45753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45753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45753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45753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45753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45753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45753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45753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45753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45753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45753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45753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45753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45753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45753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45753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45753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45753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45753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45753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45753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45753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45753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45753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45753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45753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45753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45753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45753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45753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45753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45753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45753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45753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45753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45753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45753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45753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45753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45753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45753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45753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45753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45753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45753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45753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45753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45753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45753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45753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45753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45753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45753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45753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45753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45753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45753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45753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45753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45753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45753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45753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45753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45753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45753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45753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45753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45753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45753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45753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45753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45753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45753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45753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45753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45753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45753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45753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45753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45753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45753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45753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45753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45753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45753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45753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45753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45753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45753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45753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45753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45753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45753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45753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45753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45753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45753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45753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45753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45753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45753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45753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45753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45753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45753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45753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45753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45753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45753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45753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45753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45753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45753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45753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45753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45753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45753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45753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45753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45753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45753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45753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45753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45753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45753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45753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45753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45753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45753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45753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45753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45753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45753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45753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45753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45753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45753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45753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45753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45753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45753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45753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45753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45753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45753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45753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45753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45753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45753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45753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45753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45753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45753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45753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45753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45753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45753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45753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45753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45753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45753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45753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45753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45753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45753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45753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45753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45753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45753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45753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45753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45753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45753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45753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45753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45753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45753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45753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45753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5069-2025</t>
        </is>
      </c>
      <c r="B699" s="1" t="n">
        <v>45691</v>
      </c>
      <c r="C699" s="1" t="n">
        <v>45753</v>
      </c>
      <c r="D699" t="inlineStr">
        <is>
          <t>NORRBOTTENS LÄN</t>
        </is>
      </c>
      <c r="E699" t="inlineStr">
        <is>
          <t>ÄLVSBYN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5062-2025</t>
        </is>
      </c>
      <c r="B700" s="1" t="n">
        <v>45691</v>
      </c>
      <c r="C700" s="1" t="n">
        <v>45753</v>
      </c>
      <c r="D700" t="inlineStr">
        <is>
          <t>NORRBOTTENS LÄN</t>
        </is>
      </c>
      <c r="E700" t="inlineStr">
        <is>
          <t>ÄLVSBYN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8334-2025</t>
        </is>
      </c>
      <c r="B701" s="1" t="n">
        <v>45708</v>
      </c>
      <c r="C701" s="1" t="n">
        <v>45753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8382-2025</t>
        </is>
      </c>
      <c r="B702" s="1" t="n">
        <v>45709</v>
      </c>
      <c r="C702" s="1" t="n">
        <v>45753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13.6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8550-2025</t>
        </is>
      </c>
      <c r="B703" s="1" t="n">
        <v>45709</v>
      </c>
      <c r="C703" s="1" t="n">
        <v>45753</v>
      </c>
      <c r="D703" t="inlineStr">
        <is>
          <t>NORRBOTTENS LÄN</t>
        </is>
      </c>
      <c r="E703" t="inlineStr">
        <is>
          <t>ÄLVSBYN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8554-2025</t>
        </is>
      </c>
      <c r="B704" s="1" t="n">
        <v>45709</v>
      </c>
      <c r="C704" s="1" t="n">
        <v>45753</v>
      </c>
      <c r="D704" t="inlineStr">
        <is>
          <t>NORRBOTTENS LÄN</t>
        </is>
      </c>
      <c r="E704" t="inlineStr">
        <is>
          <t>ÄLVSBYN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8549-2025</t>
        </is>
      </c>
      <c r="B705" s="1" t="n">
        <v>45709</v>
      </c>
      <c r="C705" s="1" t="n">
        <v>45753</v>
      </c>
      <c r="D705" t="inlineStr">
        <is>
          <t>NORRBOTTENS LÄN</t>
        </is>
      </c>
      <c r="E705" t="inlineStr">
        <is>
          <t>ÄLVSBYN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8553-2025</t>
        </is>
      </c>
      <c r="B706" s="1" t="n">
        <v>45709</v>
      </c>
      <c r="C706" s="1" t="n">
        <v>45753</v>
      </c>
      <c r="D706" t="inlineStr">
        <is>
          <t>NORRBOTTENS LÄN</t>
        </is>
      </c>
      <c r="E706" t="inlineStr">
        <is>
          <t>ÄLVSBYN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8552-2025</t>
        </is>
      </c>
      <c r="B707" s="1" t="n">
        <v>45709</v>
      </c>
      <c r="C707" s="1" t="n">
        <v>45753</v>
      </c>
      <c r="D707" t="inlineStr">
        <is>
          <t>NORRBOTTENS LÄN</t>
        </is>
      </c>
      <c r="E707" t="inlineStr">
        <is>
          <t>ÄLVSBYN</t>
        </is>
      </c>
      <c r="G707" t="n">
        <v>10.7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8551-2025</t>
        </is>
      </c>
      <c r="B708" s="1" t="n">
        <v>45709</v>
      </c>
      <c r="C708" s="1" t="n">
        <v>45753</v>
      </c>
      <c r="D708" t="inlineStr">
        <is>
          <t>NORRBOTTENS LÄN</t>
        </is>
      </c>
      <c r="E708" t="inlineStr">
        <is>
          <t>ÄLVSBYN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8741-2025</t>
        </is>
      </c>
      <c r="B709" s="1" t="n">
        <v>45712</v>
      </c>
      <c r="C709" s="1" t="n">
        <v>45753</v>
      </c>
      <c r="D709" t="inlineStr">
        <is>
          <t>NORRBOTTENS LÄN</t>
        </is>
      </c>
      <c r="E709" t="inlineStr">
        <is>
          <t>ÄLVSBYN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8742-2025</t>
        </is>
      </c>
      <c r="B710" s="1" t="n">
        <v>45712</v>
      </c>
      <c r="C710" s="1" t="n">
        <v>45753</v>
      </c>
      <c r="D710" t="inlineStr">
        <is>
          <t>NORRBOTTENS LÄN</t>
        </is>
      </c>
      <c r="E710" t="inlineStr">
        <is>
          <t>ÄLVSBYN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8740-2025</t>
        </is>
      </c>
      <c r="B711" s="1" t="n">
        <v>45712</v>
      </c>
      <c r="C711" s="1" t="n">
        <v>45753</v>
      </c>
      <c r="D711" t="inlineStr">
        <is>
          <t>NORRBOTTENS LÄN</t>
        </is>
      </c>
      <c r="E711" t="inlineStr">
        <is>
          <t>ÄLVSBYN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9886-2025</t>
        </is>
      </c>
      <c r="B712" s="1" t="n">
        <v>45716</v>
      </c>
      <c r="C712" s="1" t="n">
        <v>45753</v>
      </c>
      <c r="D712" t="inlineStr">
        <is>
          <t>NORRBOTTENS LÄN</t>
        </is>
      </c>
      <c r="E712" t="inlineStr">
        <is>
          <t>ÄLVSBYN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10269-2025</t>
        </is>
      </c>
      <c r="B713" s="1" t="n">
        <v>45720</v>
      </c>
      <c r="C713" s="1" t="n">
        <v>45753</v>
      </c>
      <c r="D713" t="inlineStr">
        <is>
          <t>NORRBOTTENS LÄN</t>
        </is>
      </c>
      <c r="E713" t="inlineStr">
        <is>
          <t>ÄLVSBYN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12613-2025</t>
        </is>
      </c>
      <c r="B714" s="1" t="n">
        <v>45733</v>
      </c>
      <c r="C714" s="1" t="n">
        <v>45753</v>
      </c>
      <c r="D714" t="inlineStr">
        <is>
          <t>NORRBOTTENS LÄN</t>
        </is>
      </c>
      <c r="E714" t="inlineStr">
        <is>
          <t>ÄLVSBYN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13368-2025</t>
        </is>
      </c>
      <c r="B715" s="1" t="n">
        <v>45735</v>
      </c>
      <c r="C715" s="1" t="n">
        <v>45753</v>
      </c>
      <c r="D715" t="inlineStr">
        <is>
          <t>NORRBOTTENS LÄN</t>
        </is>
      </c>
      <c r="E715" t="inlineStr">
        <is>
          <t>ÄLVSBYN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13329-2025</t>
        </is>
      </c>
      <c r="B716" s="1" t="n">
        <v>45735</v>
      </c>
      <c r="C716" s="1" t="n">
        <v>45753</v>
      </c>
      <c r="D716" t="inlineStr">
        <is>
          <t>NORRBOTTENS LÄN</t>
        </is>
      </c>
      <c r="E716" t="inlineStr">
        <is>
          <t>ÄLVSBYN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14449-2025</t>
        </is>
      </c>
      <c r="B717" s="1" t="n">
        <v>45741</v>
      </c>
      <c r="C717" s="1" t="n">
        <v>45753</v>
      </c>
      <c r="D717" t="inlineStr">
        <is>
          <t>NORRBOTTENS LÄN</t>
        </is>
      </c>
      <c r="E717" t="inlineStr">
        <is>
          <t>ÄLVSBYN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15180-2025</t>
        </is>
      </c>
      <c r="B718" s="1" t="n">
        <v>45744</v>
      </c>
      <c r="C718" s="1" t="n">
        <v>45753</v>
      </c>
      <c r="D718" t="inlineStr">
        <is>
          <t>NORRBOTTENS LÄN</t>
        </is>
      </c>
      <c r="E718" t="inlineStr">
        <is>
          <t>ÄLVSBYN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15389-2025</t>
        </is>
      </c>
      <c r="B719" s="1" t="n">
        <v>45747</v>
      </c>
      <c r="C719" s="1" t="n">
        <v>45753</v>
      </c>
      <c r="D719" t="inlineStr">
        <is>
          <t>NORRBOTTENS LÄN</t>
        </is>
      </c>
      <c r="E719" t="inlineStr">
        <is>
          <t>ÄLVSBYN</t>
        </is>
      </c>
      <c r="G719" t="n">
        <v>10.5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15628-2025</t>
        </is>
      </c>
      <c r="B720" s="1" t="n">
        <v>45748</v>
      </c>
      <c r="C720" s="1" t="n">
        <v>45753</v>
      </c>
      <c r="D720" t="inlineStr">
        <is>
          <t>NORRBOTTENS LÄN</t>
        </is>
      </c>
      <c r="E720" t="inlineStr">
        <is>
          <t>ÄLVSBYN</t>
        </is>
      </c>
      <c r="G720" t="n">
        <v>13.5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16473-2025</t>
        </is>
      </c>
      <c r="B721" s="1" t="n">
        <v>45751</v>
      </c>
      <c r="C721" s="1" t="n">
        <v>45753</v>
      </c>
      <c r="D721" t="inlineStr">
        <is>
          <t>NORRBOTTENS LÄN</t>
        </is>
      </c>
      <c r="E721" t="inlineStr">
        <is>
          <t>ÄLVSBYN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2025-04-06T16:44:58Z</dcterms:created>
  <dcterms:modified xmlns:dcterms="http://purl.org/dc/terms/" xmlns:xsi="http://www.w3.org/2001/XMLSchema-instance" xsi:type="dcterms:W3CDTF">2025-04-06T16:44:59Z</dcterms:modified>
</cp:coreProperties>
</file>