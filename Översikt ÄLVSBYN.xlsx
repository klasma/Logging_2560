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45580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45580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45580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45580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40109-2024</t>
        </is>
      </c>
      <c r="B17" s="1" t="n">
        <v>45554</v>
      </c>
      <c r="C17" s="1" t="n">
        <v>45580</v>
      </c>
      <c r="D17" t="inlineStr">
        <is>
          <t>NORRBOTTENS LÄN</t>
        </is>
      </c>
      <c r="E17" t="inlineStr">
        <is>
          <t>ÄLVSBYN</t>
        </is>
      </c>
      <c r="G17" t="n">
        <v>7.7</v>
      </c>
      <c r="H17" t="n">
        <v>2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Knärot
Blanksvart spiklav
Gammelgransskål
Garnlav
Tretåig hackspett
Violmussling</t>
        </is>
      </c>
      <c r="S17">
        <f>HYPERLINK("https://klasma.github.io/Logging_2560/artfynd/A 40109-2024 artfynd.xlsx", "A 40109-2024")</f>
        <v/>
      </c>
      <c r="T17">
        <f>HYPERLINK("https://klasma.github.io/Logging_2560/kartor/A 40109-2024 karta.png", "A 40109-2024")</f>
        <v/>
      </c>
      <c r="U17">
        <f>HYPERLINK("https://klasma.github.io/Logging_2560/knärot/A 40109-2024 karta knärot.png", "A 40109-2024")</f>
        <v/>
      </c>
      <c r="V17">
        <f>HYPERLINK("https://klasma.github.io/Logging_2560/klagomål/A 40109-2024 FSC-klagomål.docx", "A 40109-2024")</f>
        <v/>
      </c>
      <c r="W17">
        <f>HYPERLINK("https://klasma.github.io/Logging_2560/klagomålsmail/A 40109-2024 FSC-klagomål mail.docx", "A 40109-2024")</f>
        <v/>
      </c>
      <c r="X17">
        <f>HYPERLINK("https://klasma.github.io/Logging_2560/tillsyn/A 40109-2024 tillsynsbegäran.docx", "A 40109-2024")</f>
        <v/>
      </c>
      <c r="Y17">
        <f>HYPERLINK("https://klasma.github.io/Logging_2560/tillsynsmail/A 40109-2024 tillsynsbegäran mail.docx", "A 40109-2024")</f>
        <v/>
      </c>
      <c r="Z17">
        <f>HYPERLINK("https://klasma.github.io/Logging_2560/fåglar/A 40109-2024 prioriterade fågelarter.docx", "A 40109-2024")</f>
        <v/>
      </c>
    </row>
    <row r="18" ht="15" customHeight="1">
      <c r="A18" t="inlineStr">
        <is>
          <t>A 45320-2024</t>
        </is>
      </c>
      <c r="B18" s="1" t="n">
        <v>45576</v>
      </c>
      <c r="C18" s="1" t="n">
        <v>45580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7.8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Motaggsvamp
Talltita
Vaddporing
Vedskivlav</t>
        </is>
      </c>
      <c r="S18">
        <f>HYPERLINK("https://klasma.github.io/Logging_2560/artfynd/A 45320-2024 artfynd.xlsx", "A 45320-2024")</f>
        <v/>
      </c>
      <c r="T18">
        <f>HYPERLINK("https://klasma.github.io/Logging_2560/kartor/A 45320-2024 karta.png", "A 45320-2024")</f>
        <v/>
      </c>
      <c r="V18">
        <f>HYPERLINK("https://klasma.github.io/Logging_2560/klagomål/A 45320-2024 FSC-klagomål.docx", "A 45320-2024")</f>
        <v/>
      </c>
      <c r="W18">
        <f>HYPERLINK("https://klasma.github.io/Logging_2560/klagomålsmail/A 45320-2024 FSC-klagomål mail.docx", "A 45320-2024")</f>
        <v/>
      </c>
      <c r="X18">
        <f>HYPERLINK("https://klasma.github.io/Logging_2560/tillsyn/A 45320-2024 tillsynsbegäran.docx", "A 45320-2024")</f>
        <v/>
      </c>
      <c r="Y18">
        <f>HYPERLINK("https://klasma.github.io/Logging_2560/tillsynsmail/A 45320-2024 tillsynsbegäran mail.docx", "A 45320-2024")</f>
        <v/>
      </c>
      <c r="Z18">
        <f>HYPERLINK("https://klasma.github.io/Logging_2560/fåglar/A 45320-2024 prioriterade fågelarter.docx", "A 45320-2024")</f>
        <v/>
      </c>
    </row>
    <row r="19" ht="15" customHeight="1">
      <c r="A19" t="inlineStr">
        <is>
          <t>A 3752-2023</t>
        </is>
      </c>
      <c r="B19" s="1" t="n">
        <v>44949</v>
      </c>
      <c r="C19" s="1" t="n">
        <v>45580</v>
      </c>
      <c r="D19" t="inlineStr">
        <is>
          <t>NORRBOTTENS LÄN</t>
        </is>
      </c>
      <c r="E19" t="inlineStr">
        <is>
          <t>ÄLVSBYN</t>
        </is>
      </c>
      <c r="G19" t="n">
        <v>3.7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HYPERLINK("https://klasma.github.io/Logging_2560/artfynd/A 3752-2023 artfynd.xlsx", "A 3752-2023")</f>
        <v/>
      </c>
      <c r="T19">
        <f>HYPERLINK("https://klasma.github.io/Logging_2560/kartor/A 3752-2023 karta.png", "A 3752-2023")</f>
        <v/>
      </c>
      <c r="V19">
        <f>HYPERLINK("https://klasma.github.io/Logging_2560/klagomål/A 3752-2023 FSC-klagomål.docx", "A 3752-2023")</f>
        <v/>
      </c>
      <c r="W19">
        <f>HYPERLINK("https://klasma.github.io/Logging_2560/klagomålsmail/A 3752-2023 FSC-klagomål mail.docx", "A 3752-2023")</f>
        <v/>
      </c>
      <c r="X19">
        <f>HYPERLINK("https://klasma.github.io/Logging_2560/tillsyn/A 3752-2023 tillsynsbegäran.docx", "A 3752-2023")</f>
        <v/>
      </c>
      <c r="Y19">
        <f>HYPERLINK("https://klasma.github.io/Logging_2560/tillsynsmail/A 3752-2023 tillsynsbegäran mail.docx", "A 3752-2023")</f>
        <v/>
      </c>
      <c r="Z19">
        <f>HYPERLINK("https://klasma.github.io/Logging_2560/fåglar/A 3752-2023 prioriterade fågelarter.docx", "A 3752-2023")</f>
        <v/>
      </c>
    </row>
    <row r="20" ht="15" customHeight="1">
      <c r="A20" t="inlineStr">
        <is>
          <t>A 28088-2023</t>
        </is>
      </c>
      <c r="B20" s="1" t="n">
        <v>45099</v>
      </c>
      <c r="C20" s="1" t="n">
        <v>45580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5.6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Fläckporing
Kolflarnlav
Lunglav</t>
        </is>
      </c>
      <c r="S20">
        <f>HYPERLINK("https://klasma.github.io/Logging_2560/artfynd/A 28088-2023 artfynd.xlsx", "A 28088-2023")</f>
        <v/>
      </c>
      <c r="T20">
        <f>HYPERLINK("https://klasma.github.io/Logging_2560/kartor/A 28088-2023 karta.png", "A 28088-2023")</f>
        <v/>
      </c>
      <c r="V20">
        <f>HYPERLINK("https://klasma.github.io/Logging_2560/klagomål/A 28088-2023 FSC-klagomål.docx", "A 28088-2023")</f>
        <v/>
      </c>
      <c r="W20">
        <f>HYPERLINK("https://klasma.github.io/Logging_2560/klagomålsmail/A 28088-2023 FSC-klagomål mail.docx", "A 28088-2023")</f>
        <v/>
      </c>
      <c r="X20">
        <f>HYPERLINK("https://klasma.github.io/Logging_2560/tillsyn/A 28088-2023 tillsynsbegäran.docx", "A 28088-2023")</f>
        <v/>
      </c>
      <c r="Y20">
        <f>HYPERLINK("https://klasma.github.io/Logging_2560/tillsynsmail/A 28088-2023 tillsynsbegäran mail.docx", "A 28088-2023")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45580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59618-2023</t>
        </is>
      </c>
      <c r="B22" s="1" t="n">
        <v>45254</v>
      </c>
      <c r="C22" s="1" t="n">
        <v>45580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26.3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Svart taggsvamp
Dropptaggsvamp</t>
        </is>
      </c>
      <c r="S22">
        <f>HYPERLINK("https://klasma.github.io/Logging_2560/artfynd/A 59618-2023 artfynd.xlsx", "A 59618-2023")</f>
        <v/>
      </c>
      <c r="T22">
        <f>HYPERLINK("https://klasma.github.io/Logging_2560/kartor/A 59618-2023 karta.png", "A 59618-2023")</f>
        <v/>
      </c>
      <c r="V22">
        <f>HYPERLINK("https://klasma.github.io/Logging_2560/klagomål/A 59618-2023 FSC-klagomål.docx", "A 59618-2023")</f>
        <v/>
      </c>
      <c r="W22">
        <f>HYPERLINK("https://klasma.github.io/Logging_2560/klagomålsmail/A 59618-2023 FSC-klagomål mail.docx", "A 59618-2023")</f>
        <v/>
      </c>
      <c r="X22">
        <f>HYPERLINK("https://klasma.github.io/Logging_2560/tillsyn/A 59618-2023 tillsynsbegäran.docx", "A 59618-2023")</f>
        <v/>
      </c>
      <c r="Y22">
        <f>HYPERLINK("https://klasma.github.io/Logging_2560/tillsynsmail/A 59618-2023 tillsynsbegäran mail.docx", "A 59618-2023")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45580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8612-2020</t>
        </is>
      </c>
      <c r="B24" s="1" t="n">
        <v>43875</v>
      </c>
      <c r="C24" s="1" t="n">
        <v>45580</v>
      </c>
      <c r="D24" t="inlineStr">
        <is>
          <t>NORRBOTTENS LÄN</t>
        </is>
      </c>
      <c r="E24" t="inlineStr">
        <is>
          <t>ÄLVSBYN</t>
        </is>
      </c>
      <c r="G24" t="n">
        <v>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Rotfingersvamp
Smalfotad taggsvamp</t>
        </is>
      </c>
      <c r="S24">
        <f>HYPERLINK("https://klasma.github.io/Logging_2560/artfynd/A 8612-2020 artfynd.xlsx", "A 8612-2020")</f>
        <v/>
      </c>
      <c r="T24">
        <f>HYPERLINK("https://klasma.github.io/Logging_2560/kartor/A 8612-2020 karta.png", "A 8612-2020")</f>
        <v/>
      </c>
      <c r="V24">
        <f>HYPERLINK("https://klasma.github.io/Logging_2560/klagomål/A 8612-2020 FSC-klagomål.docx", "A 8612-2020")</f>
        <v/>
      </c>
      <c r="W24">
        <f>HYPERLINK("https://klasma.github.io/Logging_2560/klagomålsmail/A 8612-2020 FSC-klagomål mail.docx", "A 8612-2020")</f>
        <v/>
      </c>
      <c r="X24">
        <f>HYPERLINK("https://klasma.github.io/Logging_2560/tillsyn/A 8612-2020 tillsynsbegäran.docx", "A 8612-2020")</f>
        <v/>
      </c>
      <c r="Y24">
        <f>HYPERLINK("https://klasma.github.io/Logging_2560/tillsynsmail/A 8612-2020 tillsynsbegäran mail.docx", "A 8612-2020")</f>
        <v/>
      </c>
    </row>
    <row r="25" ht="15" customHeight="1">
      <c r="A25" t="inlineStr">
        <is>
          <t>A 52177-2021</t>
        </is>
      </c>
      <c r="B25" s="1" t="n">
        <v>44463</v>
      </c>
      <c r="C25" s="1" t="n">
        <v>45580</v>
      </c>
      <c r="D25" t="inlineStr">
        <is>
          <t>NORRBOTTENS LÄN</t>
        </is>
      </c>
      <c r="E25" t="inlineStr">
        <is>
          <t>ÄLVSBYN</t>
        </is>
      </c>
      <c r="G25" t="n">
        <v>36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Tjäder</t>
        </is>
      </c>
      <c r="S25">
        <f>HYPERLINK("https://klasma.github.io/Logging_2560/artfynd/A 52177-2021 artfynd.xlsx", "A 52177-2021")</f>
        <v/>
      </c>
      <c r="T25">
        <f>HYPERLINK("https://klasma.github.io/Logging_2560/kartor/A 52177-2021 karta.png", "A 52177-2021")</f>
        <v/>
      </c>
      <c r="V25">
        <f>HYPERLINK("https://klasma.github.io/Logging_2560/klagomål/A 52177-2021 FSC-klagomål.docx", "A 52177-2021")</f>
        <v/>
      </c>
      <c r="W25">
        <f>HYPERLINK("https://klasma.github.io/Logging_2560/klagomålsmail/A 52177-2021 FSC-klagomål mail.docx", "A 52177-2021")</f>
        <v/>
      </c>
      <c r="X25">
        <f>HYPERLINK("https://klasma.github.io/Logging_2560/tillsyn/A 52177-2021 tillsynsbegäran.docx", "A 52177-2021")</f>
        <v/>
      </c>
      <c r="Y25">
        <f>HYPERLINK("https://klasma.github.io/Logging_2560/tillsynsmail/A 52177-2021 tillsynsbegäran mail.docx", "A 52177-2021")</f>
        <v/>
      </c>
      <c r="Z25">
        <f>HYPERLINK("https://klasma.github.io/Logging_2560/fåglar/A 52177-2021 prioriterade fågelarter.docx", "A 52177-2021")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45580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29877-2023</t>
        </is>
      </c>
      <c r="B27" s="1" t="n">
        <v>45107</v>
      </c>
      <c r="C27" s="1" t="n">
        <v>45580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Lunglav</t>
        </is>
      </c>
      <c r="S27">
        <f>HYPERLINK("https://klasma.github.io/Logging_2560/artfynd/A 29877-2023 artfynd.xlsx", "A 29877-2023")</f>
        <v/>
      </c>
      <c r="T27">
        <f>HYPERLINK("https://klasma.github.io/Logging_2560/kartor/A 29877-2023 karta.png", "A 29877-2023")</f>
        <v/>
      </c>
      <c r="V27">
        <f>HYPERLINK("https://klasma.github.io/Logging_2560/klagomål/A 29877-2023 FSC-klagomål.docx", "A 29877-2023")</f>
        <v/>
      </c>
      <c r="W27">
        <f>HYPERLINK("https://klasma.github.io/Logging_2560/klagomålsmail/A 29877-2023 FSC-klagomål mail.docx", "A 29877-2023")</f>
        <v/>
      </c>
      <c r="X27">
        <f>HYPERLINK("https://klasma.github.io/Logging_2560/tillsyn/A 29877-2023 tillsynsbegäran.docx", "A 29877-2023")</f>
        <v/>
      </c>
      <c r="Y27">
        <f>HYPERLINK("https://klasma.github.io/Logging_2560/tillsynsmail/A 29877-2023 tillsynsbegäran mail.docx", "A 29877-2023")</f>
        <v/>
      </c>
    </row>
    <row r="28" ht="15" customHeight="1">
      <c r="A28" t="inlineStr">
        <is>
          <t>A 47131-2023</t>
        </is>
      </c>
      <c r="B28" s="1" t="n">
        <v>45201</v>
      </c>
      <c r="C28" s="1" t="n">
        <v>45580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Tallriska</t>
        </is>
      </c>
      <c r="S28">
        <f>HYPERLINK("https://klasma.github.io/Logging_2560/artfynd/A 47131-2023 artfynd.xlsx", "A 47131-2023")</f>
        <v/>
      </c>
      <c r="T28">
        <f>HYPERLINK("https://klasma.github.io/Logging_2560/kartor/A 47131-2023 karta.png", "A 47131-2023")</f>
        <v/>
      </c>
      <c r="V28">
        <f>HYPERLINK("https://klasma.github.io/Logging_2560/klagomål/A 47131-2023 FSC-klagomål.docx", "A 47131-2023")</f>
        <v/>
      </c>
      <c r="W28">
        <f>HYPERLINK("https://klasma.github.io/Logging_2560/klagomålsmail/A 47131-2023 FSC-klagomål mail.docx", "A 47131-2023")</f>
        <v/>
      </c>
      <c r="X28">
        <f>HYPERLINK("https://klasma.github.io/Logging_2560/tillsyn/A 47131-2023 tillsynsbegäran.docx", "A 47131-2023")</f>
        <v/>
      </c>
      <c r="Y28">
        <f>HYPERLINK("https://klasma.github.io/Logging_2560/tillsynsmail/A 47131-2023 tillsynsbegäran mail.docx", "A 47131-2023")</f>
        <v/>
      </c>
    </row>
    <row r="29" ht="15" customHeight="1">
      <c r="A29" t="inlineStr">
        <is>
          <t>A 569-2024</t>
        </is>
      </c>
      <c r="B29" s="1" t="n">
        <v>45299</v>
      </c>
      <c r="C29" s="1" t="n">
        <v>45580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Orange taggsvamp
Skarp dropptaggsvamp</t>
        </is>
      </c>
      <c r="S29">
        <f>HYPERLINK("https://klasma.github.io/Logging_2560/artfynd/A 569-2024 artfynd.xlsx", "A 569-2024")</f>
        <v/>
      </c>
      <c r="T29">
        <f>HYPERLINK("https://klasma.github.io/Logging_2560/kartor/A 569-2024 karta.png", "A 569-2024")</f>
        <v/>
      </c>
      <c r="V29">
        <f>HYPERLINK("https://klasma.github.io/Logging_2560/klagomål/A 569-2024 FSC-klagomål.docx", "A 569-2024")</f>
        <v/>
      </c>
      <c r="W29">
        <f>HYPERLINK("https://klasma.github.io/Logging_2560/klagomålsmail/A 569-2024 FSC-klagomål mail.docx", "A 569-2024")</f>
        <v/>
      </c>
      <c r="X29">
        <f>HYPERLINK("https://klasma.github.io/Logging_2560/tillsyn/A 569-2024 tillsynsbegäran.docx", "A 569-2024")</f>
        <v/>
      </c>
      <c r="Y29">
        <f>HYPERLINK("https://klasma.github.io/Logging_2560/tillsynsmail/A 569-2024 tillsynsbegäran mail.docx", "A 569-2024")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45580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45580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45580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32818-2024</t>
        </is>
      </c>
      <c r="B33" s="1" t="n">
        <v>45516</v>
      </c>
      <c r="C33" s="1" t="n">
        <v>45580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7.6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32818-2024 artfynd.xlsx", "A 32818-2024")</f>
        <v/>
      </c>
      <c r="T33">
        <f>HYPERLINK("https://klasma.github.io/Logging_2560/kartor/A 32818-2024 karta.png", "A 32818-2024")</f>
        <v/>
      </c>
      <c r="V33">
        <f>HYPERLINK("https://klasma.github.io/Logging_2560/klagomål/A 32818-2024 FSC-klagomål.docx", "A 32818-2024")</f>
        <v/>
      </c>
      <c r="W33">
        <f>HYPERLINK("https://klasma.github.io/Logging_2560/klagomålsmail/A 32818-2024 FSC-klagomål mail.docx", "A 32818-2024")</f>
        <v/>
      </c>
      <c r="X33">
        <f>HYPERLINK("https://klasma.github.io/Logging_2560/tillsyn/A 32818-2024 tillsynsbegäran.docx", "A 32818-2024")</f>
        <v/>
      </c>
      <c r="Y33">
        <f>HYPERLINK("https://klasma.github.io/Logging_2560/tillsynsmail/A 32818-2024 tillsynsbegäran mail.docx", "A 32818-2024")</f>
        <v/>
      </c>
    </row>
    <row r="34" ht="15" customHeight="1">
      <c r="A34" t="inlineStr">
        <is>
          <t>A 40107-2024</t>
        </is>
      </c>
      <c r="B34" s="1" t="n">
        <v>45554</v>
      </c>
      <c r="C34" s="1" t="n">
        <v>45580</v>
      </c>
      <c r="D34" t="inlineStr">
        <is>
          <t>NORRBOTTENS LÄN</t>
        </is>
      </c>
      <c r="E34" t="inlineStr">
        <is>
          <t>ÄLVSBYN</t>
        </is>
      </c>
      <c r="G34" t="n">
        <v>6.4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HYPERLINK("https://klasma.github.io/Logging_2560/artfynd/A 40107-2024 artfynd.xlsx", "A 40107-2024")</f>
        <v/>
      </c>
      <c r="T34">
        <f>HYPERLINK("https://klasma.github.io/Logging_2560/kartor/A 40107-2024 karta.png", "A 40107-2024")</f>
        <v/>
      </c>
      <c r="U34">
        <f>HYPERLINK("https://klasma.github.io/Logging_2560/knärot/A 40107-2024 karta knärot.png", "A 40107-2024")</f>
        <v/>
      </c>
      <c r="V34">
        <f>HYPERLINK("https://klasma.github.io/Logging_2560/klagomål/A 40107-2024 FSC-klagomål.docx", "A 40107-2024")</f>
        <v/>
      </c>
      <c r="W34">
        <f>HYPERLINK("https://klasma.github.io/Logging_2560/klagomålsmail/A 40107-2024 FSC-klagomål mail.docx", "A 40107-2024")</f>
        <v/>
      </c>
      <c r="X34">
        <f>HYPERLINK("https://klasma.github.io/Logging_2560/tillsyn/A 40107-2024 tillsynsbegäran.docx", "A 40107-2024")</f>
        <v/>
      </c>
      <c r="Y34">
        <f>HYPERLINK("https://klasma.github.io/Logging_2560/tillsynsmail/A 40107-2024 tillsynsbegäran mail.docx", "A 40107-2024")</f>
        <v/>
      </c>
      <c r="Z34">
        <f>HYPERLINK("https://klasma.github.io/Logging_2560/fåglar/A 40107-2024 prioriterade fågelarter.docx", "A 40107-2024")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45580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45580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45580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45580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45580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45580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45580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45580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45580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45580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45580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45580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45580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45580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45580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45580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45580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45580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45580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45580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45580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45580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45580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45580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45580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45580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45580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45580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45580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45580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45580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45580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45580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45580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45580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45580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45580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45580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45580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45580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45580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45580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45580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45580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45580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45580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45580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45580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45580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45580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45580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45580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45580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45580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45580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45580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45580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45580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45580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45580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45580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45580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45580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45580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45580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45580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45580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45580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45580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45580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45580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45580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45580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45580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45580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45580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45580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45580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45580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45580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45580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45580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45580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45580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45580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45580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45580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45580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45580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45580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45580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45580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45580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45580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45580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45580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45580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45580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45580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45580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45580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45580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45580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45580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45580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45580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45580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45580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45580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45580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45580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45580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45580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45580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45580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45580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45580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45580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45580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45580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45580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45580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45580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45580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45580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45580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45580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45580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45580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45580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45580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45580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45580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45580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45580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45580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45580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45580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45580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45580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45580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45580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45580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45580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45580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45580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45580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45580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45580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45580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45580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45580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45580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45580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45580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45580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45580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45580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45580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45580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45580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45580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45580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45580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45580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45580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45580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45580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45580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45580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45580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45580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45580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45580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45580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45580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45580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45580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45580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45580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45580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45580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45580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45580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45580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45580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45580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45580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45580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45580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45580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45580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45580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45580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45580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45580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45580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45580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45580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45580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45580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45580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45580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45580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45580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45580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45580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45580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45580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45580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45580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45580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45580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45580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45580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45580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45580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45580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45580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45580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45580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45580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45580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45580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45580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45580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45580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45580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45580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45580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45580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45580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45580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45580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45580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45580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45580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45580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45580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45580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45580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45580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45580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45580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45580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45580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45580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45580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45580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45580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45580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45580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45580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45580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45580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45580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45580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45580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45580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45580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45580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45580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45580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45580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45580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45580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45580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45580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45580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45580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45580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45580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45580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45580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45580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45580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45580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45580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45580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45580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45580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45580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45580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45580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45580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45580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45580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45580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45580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45580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45580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45580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45580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45580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45580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45580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45580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45580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45580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45580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45580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45580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45580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45580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45580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45580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45580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45580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45580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45580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45580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45580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45580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45580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45580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45580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45580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45580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45580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45580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45580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45580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45580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45580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45580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45580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45580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45580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45580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45580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45580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45580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45580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45580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45580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45580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45580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45580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45580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45580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45580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45580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45580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45580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45580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45580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45580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45580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45580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45580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45580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45580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45580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45580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45580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45580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45580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45580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45580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45580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45580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45580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45580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45580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45580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45580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45580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45580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45580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45580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45580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45580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45580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45580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45580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45580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45580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45580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45580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45580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45580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45580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45580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45580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45580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45580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45580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45580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45580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45580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45580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45580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45580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45580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45580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45580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45580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45580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45580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45580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45580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45580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45580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45580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45580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45580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45580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45580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45580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45580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45580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45580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45580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45580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45580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45580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45580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45580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45580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45580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45580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45580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45580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45580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45580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45580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45580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45580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45580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45580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45580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45580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39668-2024</t>
        </is>
      </c>
      <c r="B589" s="1" t="n">
        <v>45552</v>
      </c>
      <c r="C589" s="1" t="n">
        <v>45580</v>
      </c>
      <c r="D589" t="inlineStr">
        <is>
          <t>NORRBOTTENS LÄN</t>
        </is>
      </c>
      <c r="E589" t="inlineStr">
        <is>
          <t>ÄLVSBYN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39604-2024</t>
        </is>
      </c>
      <c r="B590" s="1" t="n">
        <v>45552</v>
      </c>
      <c r="C590" s="1" t="n">
        <v>45580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39645-2024</t>
        </is>
      </c>
      <c r="B591" s="1" t="n">
        <v>45552</v>
      </c>
      <c r="C591" s="1" t="n">
        <v>45580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45580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45580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45580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45580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45580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45580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45580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42499-2024</t>
        </is>
      </c>
      <c r="B599" s="1" t="n">
        <v>45565</v>
      </c>
      <c r="C599" s="1" t="n">
        <v>45580</v>
      </c>
      <c r="D599" t="inlineStr">
        <is>
          <t>NORRBOTTENS LÄN</t>
        </is>
      </c>
      <c r="E599" t="inlineStr">
        <is>
          <t>ÄLVSBYN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42558-2024</t>
        </is>
      </c>
      <c r="B600" s="1" t="n">
        <v>45565</v>
      </c>
      <c r="C600" s="1" t="n">
        <v>45580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42574-2024</t>
        </is>
      </c>
      <c r="B601" s="1" t="n">
        <v>45565</v>
      </c>
      <c r="C601" s="1" t="n">
        <v>45580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42505-2024</t>
        </is>
      </c>
      <c r="B602" s="1" t="n">
        <v>45565</v>
      </c>
      <c r="C602" s="1" t="n">
        <v>45580</v>
      </c>
      <c r="D602" t="inlineStr">
        <is>
          <t>NORRBOTTENS LÄN</t>
        </is>
      </c>
      <c r="E602" t="inlineStr">
        <is>
          <t>ÄLVSBYN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42568-2024</t>
        </is>
      </c>
      <c r="B603" s="1" t="n">
        <v>45565</v>
      </c>
      <c r="C603" s="1" t="n">
        <v>45580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42475-2024</t>
        </is>
      </c>
      <c r="B604" s="1" t="n">
        <v>45565</v>
      </c>
      <c r="C604" s="1" t="n">
        <v>45580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42483-2024</t>
        </is>
      </c>
      <c r="B605" s="1" t="n">
        <v>45565</v>
      </c>
      <c r="C605" s="1" t="n">
        <v>45580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42477-2024</t>
        </is>
      </c>
      <c r="B606" s="1" t="n">
        <v>45565</v>
      </c>
      <c r="C606" s="1" t="n">
        <v>45580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42506-2024</t>
        </is>
      </c>
      <c r="B607" s="1" t="n">
        <v>45565</v>
      </c>
      <c r="C607" s="1" t="n">
        <v>45580</v>
      </c>
      <c r="D607" t="inlineStr">
        <is>
          <t>NORRBOTTENS LÄN</t>
        </is>
      </c>
      <c r="E607" t="inlineStr">
        <is>
          <t>ÄLVSBYN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45580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45580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45580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44252-2024</t>
        </is>
      </c>
      <c r="B612" s="1" t="n">
        <v>45573</v>
      </c>
      <c r="C612" s="1" t="n">
        <v>45580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44365-2024</t>
        </is>
      </c>
      <c r="B613" s="1" t="n">
        <v>45573</v>
      </c>
      <c r="C613" s="1" t="n">
        <v>45580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44213-2024</t>
        </is>
      </c>
      <c r="B614" s="1" t="n">
        <v>45573</v>
      </c>
      <c r="C614" s="1" t="n">
        <v>45580</v>
      </c>
      <c r="D614" t="inlineStr">
        <is>
          <t>NORRBOTTENS LÄN</t>
        </is>
      </c>
      <c r="E614" t="inlineStr">
        <is>
          <t>ÄLVSBYN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44255-2024</t>
        </is>
      </c>
      <c r="B615" s="1" t="n">
        <v>45573</v>
      </c>
      <c r="C615" s="1" t="n">
        <v>45580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44348-2024</t>
        </is>
      </c>
      <c r="B616" s="1" t="n">
        <v>45573</v>
      </c>
      <c r="C616" s="1" t="n">
        <v>45580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45302-2024</t>
        </is>
      </c>
      <c r="B618" s="1" t="n">
        <v>45576</v>
      </c>
      <c r="C618" s="1" t="n">
        <v>45580</v>
      </c>
      <c r="D618" t="inlineStr">
        <is>
          <t>NORRBOTTENS LÄN</t>
        </is>
      </c>
      <c r="E618" t="inlineStr">
        <is>
          <t>ÄLVSBYN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45310-2024</t>
        </is>
      </c>
      <c r="B619" s="1" t="n">
        <v>45576</v>
      </c>
      <c r="C619" s="1" t="n">
        <v>45580</v>
      </c>
      <c r="D619" t="inlineStr">
        <is>
          <t>NORRBOTTENS LÄN</t>
        </is>
      </c>
      <c r="E619" t="inlineStr">
        <is>
          <t>ÄLVSBYN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45314-2024</t>
        </is>
      </c>
      <c r="B620" s="1" t="n">
        <v>45576</v>
      </c>
      <c r="C620" s="1" t="n">
        <v>45580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45317-2024</t>
        </is>
      </c>
      <c r="B621" s="1" t="n">
        <v>45576</v>
      </c>
      <c r="C621" s="1" t="n">
        <v>45580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45316-2024</t>
        </is>
      </c>
      <c r="B622" s="1" t="n">
        <v>45576</v>
      </c>
      <c r="C622" s="1" t="n">
        <v>45580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45808-2024</t>
        </is>
      </c>
      <c r="B623" s="1" t="n">
        <v>45579</v>
      </c>
      <c r="C623" s="1" t="n">
        <v>45580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45724-2024</t>
        </is>
      </c>
      <c r="B624" s="1" t="n">
        <v>45579</v>
      </c>
      <c r="C624" s="1" t="n">
        <v>45580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2024-10-15T12:46:34Z</dcterms:created>
  <dcterms:modified xmlns:dcterms="http://purl.org/dc/terms/" xmlns:xsi="http://www.w3.org/2001/XMLSchema-instance" xsi:type="dcterms:W3CDTF">2024-10-15T12:46:34Z</dcterms:modified>
</cp:coreProperties>
</file>