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46284</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46284</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53</v>
      </c>
      <c r="U3" t="n">
        <v>39</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46284</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46284</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46284</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46284</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46284</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46284</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46284</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46284</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46284</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46284</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46284</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37027-2026</t>
        </is>
      </c>
      <c r="B15" t="inlineStr">
        <is>
          <t>avverkningsanmälan</t>
        </is>
      </c>
      <c r="C15" t="inlineStr">
        <is>
          <t>Föryngringsavverkning</t>
        </is>
      </c>
      <c r="D15" s="1" t="n">
        <v>46273</v>
      </c>
      <c r="E15" s="1" t="n">
        <v>46284</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40107-2024</t>
        </is>
      </c>
      <c r="B16" t="inlineStr">
        <is>
          <t>avverkningsanmälan</t>
        </is>
      </c>
      <c r="C16" t="inlineStr">
        <is>
          <t>Föryngringsavverkning</t>
        </is>
      </c>
      <c r="D16" s="1" t="n">
        <v>45554</v>
      </c>
      <c r="E16" s="1" t="n">
        <v>46284</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46284</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46284</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46284</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46284</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46284</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11477-2022</t>
        </is>
      </c>
      <c r="B22" t="inlineStr">
        <is>
          <t>avverkningsanmälan</t>
        </is>
      </c>
      <c r="C22" t="inlineStr">
        <is>
          <t>Föryngringsavverkning</t>
        </is>
      </c>
      <c r="D22" s="1" t="n">
        <v>44630</v>
      </c>
      <c r="E22" s="1" t="n">
        <v>46284</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33395-2026</t>
        </is>
      </c>
      <c r="B23" t="inlineStr">
        <is>
          <t>avverkningsanmälan</t>
        </is>
      </c>
      <c r="C23" t="inlineStr">
        <is>
          <t>Föryngringsavverkning</t>
        </is>
      </c>
      <c r="D23" s="1" t="n">
        <v>46247</v>
      </c>
      <c r="E23" s="1" t="n">
        <v>46284</v>
      </c>
      <c r="F23" t="inlineStr">
        <is>
          <t>NORRBOTTENS LÄN</t>
        </is>
      </c>
      <c r="G23" t="inlineStr">
        <is>
          <t>ÄLVSBYN</t>
        </is>
      </c>
      <c r="H23" t="inlineStr">
        <is>
          <t>SCA</t>
        </is>
      </c>
      <c r="I23" t="n">
        <v>1.5</v>
      </c>
      <c r="J23" t="n">
        <v>1</v>
      </c>
      <c r="K23" t="n">
        <v>2</v>
      </c>
      <c r="L23" t="n">
        <v>3</v>
      </c>
      <c r="M23" t="n">
        <v>1</v>
      </c>
      <c r="N23" t="n">
        <v>0</v>
      </c>
      <c r="O23" t="n">
        <v>0</v>
      </c>
      <c r="P23" t="n">
        <v>0</v>
      </c>
      <c r="Q23" t="n">
        <v>4</v>
      </c>
      <c r="R23" t="n">
        <v>1</v>
      </c>
      <c r="S23" t="n">
        <v>7</v>
      </c>
      <c r="T23" t="n">
        <v>11</v>
      </c>
      <c r="U23" t="n">
        <v>11</v>
      </c>
      <c r="V23" s="2" t="inlineStr">
        <is>
          <t>Garnlav
Gammelgransskål
Liten svartspik
Tretåig hackspett
Bårdlav
Vedticka
Kransmossa</t>
        </is>
      </c>
      <c r="W23">
        <f>HYPERLINK("https://klasma.github.io/Logging_2560/artfynd/A 33395-2026 artfynd.xlsx", "A 33395-2026")</f>
        <v/>
      </c>
      <c r="X23">
        <f>HYPERLINK("https://klasma.github.io/Logging_2560/kartor/A 33395-2026 karta.png", "A 33395-2026")</f>
        <v/>
      </c>
      <c r="Y23">
        <f>HYPERLINK("https://klasma.github.io/Logging_2560/kartor_geotiff/A 33395-2026 georefererad karta.tif", "A 33395-2026")</f>
        <v/>
      </c>
      <c r="AA23">
        <f>HYPERLINK("https://klasma.github.io/Logging_2560/klagomål/A 33395-2026 FSC-klagomål.docx", "A 33395-2026")</f>
        <v/>
      </c>
      <c r="AB23">
        <f>HYPERLINK("https://klasma.github.io/Logging_2560/klagomålsmail/A 33395-2026 FSC-klagomål mail.docx", "A 33395-2026")</f>
        <v/>
      </c>
      <c r="AC23">
        <f>HYPERLINK("https://klasma.github.io/Logging_2560/tillsyn/A 33395-2026 tillsynsbegäran.docx", "A 33395-2026")</f>
        <v/>
      </c>
      <c r="AD23">
        <f>HYPERLINK("https://klasma.github.io/Logging_2560/tillsynsmail/A 33395-2026 tillsynsbegäran mail.docx", "A 33395-2026")</f>
        <v/>
      </c>
      <c r="AE23">
        <f>HYPERLINK("https://klasma.github.io/Logging_2560/fåglar/A 33395-2026 prioriterade fågelarter.docx", "A 33395-2026")</f>
        <v/>
      </c>
    </row>
    <row r="24" ht="15" customHeight="1">
      <c r="A24" t="inlineStr">
        <is>
          <t>A 26731-2024</t>
        </is>
      </c>
      <c r="B24" t="inlineStr">
        <is>
          <t>avverkningsanmälan</t>
        </is>
      </c>
      <c r="C24" t="inlineStr">
        <is>
          <t>Föryngringsavverkning</t>
        </is>
      </c>
      <c r="D24" s="1" t="n">
        <v>45470</v>
      </c>
      <c r="E24" s="1" t="n">
        <v>46284</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37034-2026</t>
        </is>
      </c>
      <c r="B25" t="inlineStr">
        <is>
          <t>avverkningsanmälan</t>
        </is>
      </c>
      <c r="C25" t="inlineStr">
        <is>
          <t>Föryngringsavverkning</t>
        </is>
      </c>
      <c r="D25" s="1" t="n">
        <v>46273</v>
      </c>
      <c r="E25" s="1" t="n">
        <v>46284</v>
      </c>
      <c r="F25" t="inlineStr">
        <is>
          <t>NORRBOTTENS LÄN</t>
        </is>
      </c>
      <c r="G25" t="inlineStr">
        <is>
          <t>ÄLVSBYN</t>
        </is>
      </c>
      <c r="H25" t="inlineStr">
        <is>
          <t>Sveaskog</t>
        </is>
      </c>
      <c r="I25" t="n">
        <v>1.5</v>
      </c>
      <c r="J25" t="n">
        <v>1</v>
      </c>
      <c r="K25" t="n">
        <v>0</v>
      </c>
      <c r="L25" t="n">
        <v>5</v>
      </c>
      <c r="M25" t="n">
        <v>2</v>
      </c>
      <c r="N25" t="n">
        <v>0</v>
      </c>
      <c r="O25" t="n">
        <v>0</v>
      </c>
      <c r="P25" t="n">
        <v>0</v>
      </c>
      <c r="Q25" t="n">
        <v>7</v>
      </c>
      <c r="R25" t="n">
        <v>2</v>
      </c>
      <c r="S25" t="n">
        <v>7</v>
      </c>
      <c r="T25" t="n">
        <v>11</v>
      </c>
      <c r="U25" t="n">
        <v>0</v>
      </c>
      <c r="V25" s="2" t="inlineStr">
        <is>
          <t>Gräddporing
Smultronkantarell
Dropptaggsvamp
Dvärgbägarlav
Kungsörn
Orange taggsvamp
Vaddporing</t>
        </is>
      </c>
      <c r="W25">
        <f>HYPERLINK("https://klasma.github.io/Logging_2560/artfynd/A 37034-2026 artfynd.xlsx", "A 37034-2026")</f>
        <v/>
      </c>
      <c r="X25">
        <f>HYPERLINK("https://klasma.github.io/Logging_2560/kartor/A 37034-2026 karta.png", "A 37034-2026")</f>
        <v/>
      </c>
      <c r="Y25">
        <f>HYPERLINK("https://klasma.github.io/Logging_2560/kartor_geotiff/A 37034-2026 georefererad karta.tif", "A 37034-2026")</f>
        <v/>
      </c>
      <c r="AA25">
        <f>HYPERLINK("https://klasma.github.io/Logging_2560/klagomål/A 37034-2026 FSC-klagomål.docx", "A 37034-2026")</f>
        <v/>
      </c>
      <c r="AB25">
        <f>HYPERLINK("https://klasma.github.io/Logging_2560/klagomålsmail/A 37034-2026 FSC-klagomål mail.docx", "A 37034-2026")</f>
        <v/>
      </c>
      <c r="AC25">
        <f>HYPERLINK("https://klasma.github.io/Logging_2560/tillsyn/A 37034-2026 tillsynsbegäran.docx", "A 37034-2026")</f>
        <v/>
      </c>
      <c r="AD25">
        <f>HYPERLINK("https://klasma.github.io/Logging_2560/tillsynsmail/A 37034-2026 tillsynsbegäran mail.docx", "A 37034-2026")</f>
        <v/>
      </c>
      <c r="AE25">
        <f>HYPERLINK("https://klasma.github.io/Logging_2560/fåglar/A 37034-2026 prioriterade fågelarter.docx", "A 37034-2026")</f>
        <v/>
      </c>
    </row>
    <row r="26" ht="15" customHeight="1">
      <c r="A26" t="inlineStr">
        <is>
          <t>A 20466-2025</t>
        </is>
      </c>
      <c r="B26" t="inlineStr">
        <is>
          <t>avverkningsanmälan</t>
        </is>
      </c>
      <c r="C26" t="inlineStr">
        <is>
          <t>Föryngringsavverkning</t>
        </is>
      </c>
      <c r="D26" s="1" t="n">
        <v>45775</v>
      </c>
      <c r="E26" s="1" t="n">
        <v>46284</v>
      </c>
      <c r="F26" t="inlineStr">
        <is>
          <t>NORRBOTTENS LÄN</t>
        </is>
      </c>
      <c r="G26" t="inlineStr">
        <is>
          <t>ÄLVSBYN</t>
        </is>
      </c>
      <c r="I26" t="n">
        <v>1.6</v>
      </c>
      <c r="J26" t="n">
        <v>2</v>
      </c>
      <c r="K26" t="n">
        <v>1</v>
      </c>
      <c r="L26" t="n">
        <v>6</v>
      </c>
      <c r="M26" t="n">
        <v>0</v>
      </c>
      <c r="N26" t="n">
        <v>0</v>
      </c>
      <c r="O26" t="n">
        <v>0</v>
      </c>
      <c r="P26" t="n">
        <v>0</v>
      </c>
      <c r="Q26" t="n">
        <v>6</v>
      </c>
      <c r="R26" t="n">
        <v>0</v>
      </c>
      <c r="S26" t="n">
        <v>7</v>
      </c>
      <c r="T26" t="n">
        <v>11</v>
      </c>
      <c r="U26" t="n">
        <v>0</v>
      </c>
      <c r="V26" s="2" t="inlineStr">
        <is>
          <t>Dvärgbägarlav
Kolflarnlav
Kortskaftad ärgspik
Lavskrika
Vedskivlav
Violettgrå tagellav
Plattlummer</t>
        </is>
      </c>
      <c r="W26">
        <f>HYPERLINK("https://klasma.github.io/Logging_2560/artfynd/A 20466-2025 artfynd.xlsx", "A 20466-2025")</f>
        <v/>
      </c>
      <c r="X26">
        <f>HYPERLINK("https://klasma.github.io/Logging_2560/kartor/A 20466-2025 karta.png", "A 20466-2025")</f>
        <v/>
      </c>
      <c r="Y26">
        <f>HYPERLINK("https://klasma.github.io/Logging_2560/kartor_geotiff/A 20466-2025 georefererad karta.tif", "A 20466-2025")</f>
        <v/>
      </c>
      <c r="AA26">
        <f>HYPERLINK("https://klasma.github.io/Logging_2560/klagomål/A 20466-2025 FSC-klagomål.docx", "A 20466-2025")</f>
        <v/>
      </c>
      <c r="AB26">
        <f>HYPERLINK("https://klasma.github.io/Logging_2560/klagomålsmail/A 20466-2025 FSC-klagomål mail.docx", "A 20466-2025")</f>
        <v/>
      </c>
      <c r="AC26">
        <f>HYPERLINK("https://klasma.github.io/Logging_2560/tillsyn/A 20466-2025 tillsynsbegäran.docx", "A 20466-2025")</f>
        <v/>
      </c>
      <c r="AD26">
        <f>HYPERLINK("https://klasma.github.io/Logging_2560/tillsynsmail/A 20466-2025 tillsynsbegäran mail.docx", "A 20466-2025")</f>
        <v/>
      </c>
      <c r="AE26">
        <f>HYPERLINK("https://klasma.github.io/Logging_2560/fåglar/A 20466-2025 prioriterade fågelarter.docx", "A 20466-2025")</f>
        <v/>
      </c>
    </row>
    <row r="27" ht="15" customHeight="1">
      <c r="A27" t="inlineStr">
        <is>
          <t>A 50352-2025</t>
        </is>
      </c>
      <c r="B27" t="inlineStr">
        <is>
          <t>avverkningsanmälan</t>
        </is>
      </c>
      <c r="C27" t="inlineStr">
        <is>
          <t>Föryngringsavverkning</t>
        </is>
      </c>
      <c r="D27" s="1" t="n">
        <v>45944</v>
      </c>
      <c r="E27" s="1" t="n">
        <v>46284</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52177-2021</t>
        </is>
      </c>
      <c r="B28" t="inlineStr">
        <is>
          <t>avverkningsanmälan</t>
        </is>
      </c>
      <c r="C28" t="inlineStr">
        <is>
          <t>Föryngringsavverkning</t>
        </is>
      </c>
      <c r="D28" s="1" t="n">
        <v>44463</v>
      </c>
      <c r="E28" s="1" t="n">
        <v>46284</v>
      </c>
      <c r="F28" t="inlineStr">
        <is>
          <t>NORRBOTTENS LÄN</t>
        </is>
      </c>
      <c r="G28" t="inlineStr">
        <is>
          <t>ÄLVSBYN</t>
        </is>
      </c>
      <c r="I28" t="n">
        <v>36</v>
      </c>
      <c r="J28" t="n">
        <v>0</v>
      </c>
      <c r="K28" t="n">
        <v>0</v>
      </c>
      <c r="L28" t="n">
        <v>3</v>
      </c>
      <c r="M28" t="n">
        <v>2</v>
      </c>
      <c r="N28" t="n">
        <v>0</v>
      </c>
      <c r="O28" t="n">
        <v>0</v>
      </c>
      <c r="P28" t="n">
        <v>0</v>
      </c>
      <c r="Q28" t="n">
        <v>5</v>
      </c>
      <c r="R28" t="n">
        <v>2</v>
      </c>
      <c r="S28" t="n">
        <v>6</v>
      </c>
      <c r="T28" t="n">
        <v>6</v>
      </c>
      <c r="U28" t="n">
        <v>6</v>
      </c>
      <c r="V28" s="2" t="inlineStr">
        <is>
          <t>Garnlav
Gräddporing
Månlåsbräken
Mörk kolflarnlav
Tallticka
Ängskovall</t>
        </is>
      </c>
      <c r="W28">
        <f>HYPERLINK("https://klasma.github.io/Logging_2560/artfynd/A 52177-2021 artfynd.xlsx", "A 52177-2021")</f>
        <v/>
      </c>
      <c r="X28">
        <f>HYPERLINK("https://klasma.github.io/Logging_2560/kartor/A 52177-2021 karta.png", "A 52177-2021")</f>
        <v/>
      </c>
      <c r="Y28">
        <f>HYPERLINK("https://klasma.github.io/Logging_2560/kartor_geotiff/A 52177-2021 georefererad karta.tif", "A 52177-2021")</f>
        <v/>
      </c>
      <c r="AA28">
        <f>HYPERLINK("https://klasma.github.io/Logging_2560/klagomål/A 52177-2021 FSC-klagomål.docx", "A 52177-2021")</f>
        <v/>
      </c>
      <c r="AB28">
        <f>HYPERLINK("https://klasma.github.io/Logging_2560/klagomålsmail/A 52177-2021 FSC-klagomål mail.docx", "A 52177-2021")</f>
        <v/>
      </c>
      <c r="AC28">
        <f>HYPERLINK("https://klasma.github.io/Logging_2560/tillsyn/A 52177-2021 tillsynsbegäran.docx", "A 52177-2021")</f>
        <v/>
      </c>
      <c r="AD28">
        <f>HYPERLINK("https://klasma.github.io/Logging_2560/tillsynsmail/A 52177-2021 tillsynsbegäran mail.docx", "A 52177-2021")</f>
        <v/>
      </c>
    </row>
    <row r="29" ht="15" customHeight="1">
      <c r="A29" t="inlineStr">
        <is>
          <t>A 26766-2026</t>
        </is>
      </c>
      <c r="B29" t="inlineStr">
        <is>
          <t>avverkningsanmälan</t>
        </is>
      </c>
      <c r="C29" t="inlineStr">
        <is>
          <t>Föryngringsavverkning</t>
        </is>
      </c>
      <c r="D29" s="1" t="n">
        <v>46184</v>
      </c>
      <c r="E29" s="1" t="n">
        <v>46284</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53643-2025</t>
        </is>
      </c>
      <c r="B30" t="inlineStr">
        <is>
          <t>avverkningsanmälan</t>
        </is>
      </c>
      <c r="C30" t="inlineStr">
        <is>
          <t>Föryngringsavverkning</t>
        </is>
      </c>
      <c r="D30" s="1" t="n">
        <v>45960</v>
      </c>
      <c r="E30" s="1" t="n">
        <v>46284</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44252-2024</t>
        </is>
      </c>
      <c r="B31" t="inlineStr">
        <is>
          <t>avverkningsanmälan</t>
        </is>
      </c>
      <c r="C31" t="inlineStr">
        <is>
          <t>Föryngringsavverkning</t>
        </is>
      </c>
      <c r="D31" s="1" t="n">
        <v>45573</v>
      </c>
      <c r="E31" s="1" t="n">
        <v>46284</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15355-2026</t>
        </is>
      </c>
      <c r="B32" t="inlineStr">
        <is>
          <t>avverkningsanmälan</t>
        </is>
      </c>
      <c r="C32" t="inlineStr">
        <is>
          <t>Föryngringsavverkning</t>
        </is>
      </c>
      <c r="D32" s="1" t="n">
        <v>46105</v>
      </c>
      <c r="E32" s="1" t="n">
        <v>46284</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73616-2021</t>
        </is>
      </c>
      <c r="B33" t="inlineStr">
        <is>
          <t>avverkningsanmälan</t>
        </is>
      </c>
      <c r="C33" t="inlineStr">
        <is>
          <t>Föryngringsavverkning</t>
        </is>
      </c>
      <c r="D33" s="1" t="n">
        <v>44552</v>
      </c>
      <c r="E33" s="1" t="n">
        <v>46284</v>
      </c>
      <c r="F33" t="inlineStr">
        <is>
          <t>NORRBOTTENS LÄN</t>
        </is>
      </c>
      <c r="G33" t="inlineStr">
        <is>
          <t>ÄLVSBYN</t>
        </is>
      </c>
      <c r="I33" t="n">
        <v>7.3</v>
      </c>
      <c r="J33" t="n">
        <v>2</v>
      </c>
      <c r="K33" t="n">
        <v>0</v>
      </c>
      <c r="L33" t="n">
        <v>1</v>
      </c>
      <c r="M33" t="n">
        <v>2</v>
      </c>
      <c r="N33" t="n">
        <v>0</v>
      </c>
      <c r="O33" t="n">
        <v>0</v>
      </c>
      <c r="P33" t="n">
        <v>0</v>
      </c>
      <c r="Q33" t="n">
        <v>3</v>
      </c>
      <c r="R33" t="n">
        <v>2</v>
      </c>
      <c r="S33" t="n">
        <v>4</v>
      </c>
      <c r="T33" t="n">
        <v>8</v>
      </c>
      <c r="U33" t="n">
        <v>8</v>
      </c>
      <c r="V33" s="2" t="inlineStr">
        <is>
          <t>Knärot
Sprickporing
Gammelgransskål
Spillkråka</t>
        </is>
      </c>
      <c r="W33">
        <f>HYPERLINK("https://klasma.github.io/Logging_2560/artfynd/A 73616-2021 artfynd.xlsx", "A 73616-2021")</f>
        <v/>
      </c>
      <c r="X33">
        <f>HYPERLINK("https://klasma.github.io/Logging_2560/kartor/A 73616-2021 karta.png", "A 73616-2021")</f>
        <v/>
      </c>
      <c r="Y33">
        <f>HYPERLINK("https://klasma.github.io/Logging_2560/kartor_geotiff/A 73616-2021 georefererad karta.tif", "A 73616-2021")</f>
        <v/>
      </c>
      <c r="Z33">
        <f>HYPERLINK("https://klasma.github.io/Logging_2560/knärot/A 73616-2021 karta knärot.png", "A 73616-2021")</f>
        <v/>
      </c>
      <c r="AA33">
        <f>HYPERLINK("https://klasma.github.io/Logging_2560/klagomål/A 73616-2021 FSC-klagomål.docx", "A 73616-2021")</f>
        <v/>
      </c>
      <c r="AB33">
        <f>HYPERLINK("https://klasma.github.io/Logging_2560/klagomålsmail/A 73616-2021 FSC-klagomål mail.docx", "A 73616-2021")</f>
        <v/>
      </c>
      <c r="AC33">
        <f>HYPERLINK("https://klasma.github.io/Logging_2560/tillsyn/A 73616-2021 tillsynsbegäran.docx", "A 73616-2021")</f>
        <v/>
      </c>
      <c r="AD33">
        <f>HYPERLINK("https://klasma.github.io/Logging_2560/tillsynsmail/A 73616-2021 tillsynsbegäran mail.docx", "A 73616-2021")</f>
        <v/>
      </c>
      <c r="AE33">
        <f>HYPERLINK("https://klasma.github.io/Logging_2560/fåglar/A 73616-2021 prioriterade fågelarter.docx", "A 73616-2021")</f>
        <v/>
      </c>
    </row>
    <row r="34" ht="15" customHeight="1">
      <c r="A34" t="inlineStr">
        <is>
          <t>A 23807-2026</t>
        </is>
      </c>
      <c r="B34" t="inlineStr">
        <is>
          <t>avverkningsanmälan</t>
        </is>
      </c>
      <c r="C34" t="inlineStr">
        <is>
          <t>Föryngringsavverkning</t>
        </is>
      </c>
      <c r="D34" s="1" t="n">
        <v>46164</v>
      </c>
      <c r="E34" s="1" t="n">
        <v>46284</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46284</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30592-2026</t>
        </is>
      </c>
      <c r="B36" t="inlineStr">
        <is>
          <t>avverkningsanmälan</t>
        </is>
      </c>
      <c r="C36" t="inlineStr">
        <is>
          <t>Föryngringsavverkning</t>
        </is>
      </c>
      <c r="D36" s="1" t="n">
        <v>46210</v>
      </c>
      <c r="E36" s="1" t="n">
        <v>46284</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30723-2026</t>
        </is>
      </c>
      <c r="B37" t="inlineStr">
        <is>
          <t>avverkningsanmälan</t>
        </is>
      </c>
      <c r="C37" t="inlineStr">
        <is>
          <t>Föryngringsavverkning</t>
        </is>
      </c>
      <c r="D37" s="1" t="n">
        <v>46211</v>
      </c>
      <c r="E37" s="1" t="n">
        <v>46284</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35214-2026</t>
        </is>
      </c>
      <c r="B38" t="inlineStr">
        <is>
          <t>avverkningsanmälan</t>
        </is>
      </c>
      <c r="C38" t="inlineStr">
        <is>
          <t>Föryngringsavverkning</t>
        </is>
      </c>
      <c r="D38" s="1" t="n">
        <v>46260</v>
      </c>
      <c r="E38" s="1" t="n">
        <v>46284</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46284</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46284</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28582-2025</t>
        </is>
      </c>
      <c r="B41" t="inlineStr">
        <is>
          <t>avverkningsanmälan</t>
        </is>
      </c>
      <c r="C41" t="inlineStr">
        <is>
          <t>Föryngringsavverkning</t>
        </is>
      </c>
      <c r="D41" s="1" t="n">
        <v>45819</v>
      </c>
      <c r="E41" s="1" t="n">
        <v>46284</v>
      </c>
      <c r="F41" t="inlineStr">
        <is>
          <t>NORRBOTTENS LÄN</t>
        </is>
      </c>
      <c r="G41" t="inlineStr">
        <is>
          <t>ÄLVSBYN</t>
        </is>
      </c>
      <c r="H41" t="inlineStr">
        <is>
          <t>Sveaskog</t>
        </is>
      </c>
      <c r="I41" t="n">
        <v>26.1</v>
      </c>
      <c r="J41" t="n">
        <v>1</v>
      </c>
      <c r="K41" t="n">
        <v>1</v>
      </c>
      <c r="L41" t="n">
        <v>3</v>
      </c>
      <c r="M41" t="n">
        <v>0</v>
      </c>
      <c r="N41" t="n">
        <v>0</v>
      </c>
      <c r="O41" t="n">
        <v>0</v>
      </c>
      <c r="P41" t="n">
        <v>0</v>
      </c>
      <c r="Q41" t="n">
        <v>3</v>
      </c>
      <c r="R41" t="n">
        <v>0</v>
      </c>
      <c r="S41" t="n">
        <v>4</v>
      </c>
      <c r="T41" t="n">
        <v>5</v>
      </c>
      <c r="U41" t="n">
        <v>5</v>
      </c>
      <c r="V41" s="2" t="inlineStr">
        <is>
          <t>Dropptaggsvamp
Kolflarnlav
Orange taggsvamp
Plattlummer</t>
        </is>
      </c>
      <c r="W41">
        <f>HYPERLINK("https://klasma.github.io/Logging_2560/artfynd/A 28582-2025 artfynd.xlsx", "A 28582-2025")</f>
        <v/>
      </c>
      <c r="X41">
        <f>HYPERLINK("https://klasma.github.io/Logging_2560/kartor/A 28582-2025 karta.png", "A 28582-2025")</f>
        <v/>
      </c>
      <c r="Y41">
        <f>HYPERLINK("https://klasma.github.io/Logging_2560/kartor_geotiff/A 28582-2025 georefererad karta.tif", "A 28582-2025")</f>
        <v/>
      </c>
      <c r="AA41">
        <f>HYPERLINK("https://klasma.github.io/Logging_2560/klagomål/A 28582-2025 FSC-klagomål.docx", "A 28582-2025")</f>
        <v/>
      </c>
      <c r="AB41">
        <f>HYPERLINK("https://klasma.github.io/Logging_2560/klagomålsmail/A 28582-2025 FSC-klagomål mail.docx", "A 28582-2025")</f>
        <v/>
      </c>
      <c r="AC41">
        <f>HYPERLINK("https://klasma.github.io/Logging_2560/tillsyn/A 28582-2025 tillsynsbegäran.docx", "A 28582-2025")</f>
        <v/>
      </c>
      <c r="AD41">
        <f>HYPERLINK("https://klasma.github.io/Logging_2560/tillsynsmail/A 28582-2025 tillsynsbegäran mail.docx", "A 28582-2025")</f>
        <v/>
      </c>
    </row>
    <row r="42" ht="15" customHeight="1">
      <c r="A42" t="inlineStr">
        <is>
          <t>A 45316-2024</t>
        </is>
      </c>
      <c r="B42" t="inlineStr">
        <is>
          <t>avverkningsanmälan</t>
        </is>
      </c>
      <c r="C42" t="inlineStr">
        <is>
          <t>Föryngringsavverkning</t>
        </is>
      </c>
      <c r="D42" s="1" t="n">
        <v>45576</v>
      </c>
      <c r="E42" s="1" t="n">
        <v>46284</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50156-2024</t>
        </is>
      </c>
      <c r="B43" t="inlineStr">
        <is>
          <t>avverkningsanmälan</t>
        </is>
      </c>
      <c r="C43" t="inlineStr">
        <is>
          <t>Föryngringsavverkning</t>
        </is>
      </c>
      <c r="D43" s="1" t="n">
        <v>45600</v>
      </c>
      <c r="E43" s="1" t="n">
        <v>46284</v>
      </c>
      <c r="F43" t="inlineStr">
        <is>
          <t>NORRBOTTENS LÄN</t>
        </is>
      </c>
      <c r="G43" t="inlineStr">
        <is>
          <t>ÄLVSBYN</t>
        </is>
      </c>
      <c r="H43" t="inlineStr">
        <is>
          <t>Sveaskog</t>
        </is>
      </c>
      <c r="I43" t="n">
        <v>9.9</v>
      </c>
      <c r="J43" t="n">
        <v>0</v>
      </c>
      <c r="K43" t="n">
        <v>0</v>
      </c>
      <c r="L43" t="n">
        <v>3</v>
      </c>
      <c r="M43" t="n">
        <v>0</v>
      </c>
      <c r="N43" t="n">
        <v>0</v>
      </c>
      <c r="O43" t="n">
        <v>0</v>
      </c>
      <c r="P43" t="n">
        <v>0</v>
      </c>
      <c r="Q43" t="n">
        <v>3</v>
      </c>
      <c r="R43" t="n">
        <v>0</v>
      </c>
      <c r="S43" t="n">
        <v>3</v>
      </c>
      <c r="T43" t="n">
        <v>4</v>
      </c>
      <c r="U43" t="n">
        <v>4</v>
      </c>
      <c r="V43" s="2" t="inlineStr">
        <is>
          <t>Dropptaggsvamp
Kolflarnlav
Vaddporing</t>
        </is>
      </c>
      <c r="W43">
        <f>HYPERLINK("https://klasma.github.io/Logging_2560/artfynd/A 50156-2024 artfynd.xlsx", "A 50156-2024")</f>
        <v/>
      </c>
      <c r="X43">
        <f>HYPERLINK("https://klasma.github.io/Logging_2560/kartor/A 50156-2024 karta.png", "A 50156-2024")</f>
        <v/>
      </c>
      <c r="Y43">
        <f>HYPERLINK("https://klasma.github.io/Logging_2560/kartor_geotiff/A 50156-2024 georefererad karta.tif", "A 50156-2024")</f>
        <v/>
      </c>
      <c r="AA43">
        <f>HYPERLINK("https://klasma.github.io/Logging_2560/klagomål/A 50156-2024 FSC-klagomål.docx", "A 50156-2024")</f>
        <v/>
      </c>
      <c r="AB43">
        <f>HYPERLINK("https://klasma.github.io/Logging_2560/klagomålsmail/A 50156-2024 FSC-klagomål mail.docx", "A 50156-2024")</f>
        <v/>
      </c>
      <c r="AC43">
        <f>HYPERLINK("https://klasma.github.io/Logging_2560/tillsyn/A 50156-2024 tillsynsbegäran.docx", "A 50156-2024")</f>
        <v/>
      </c>
      <c r="AD43">
        <f>HYPERLINK("https://klasma.github.io/Logging_2560/tillsynsmail/A 50156-2024 tillsynsbegäran mail.docx", "A 50156-2024")</f>
        <v/>
      </c>
    </row>
    <row r="44" ht="15" customHeight="1">
      <c r="A44" t="inlineStr">
        <is>
          <t>A 27984-2026</t>
        </is>
      </c>
      <c r="B44" t="inlineStr">
        <is>
          <t>avverkningsanmälan</t>
        </is>
      </c>
      <c r="C44" t="inlineStr">
        <is>
          <t>Föryngringsavverkning</t>
        </is>
      </c>
      <c r="D44" s="1" t="n">
        <v>46195</v>
      </c>
      <c r="E44" s="1" t="n">
        <v>46284</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30047-2026</t>
        </is>
      </c>
      <c r="B45" t="inlineStr">
        <is>
          <t>avverkningsanmälan</t>
        </is>
      </c>
      <c r="C45" t="inlineStr">
        <is>
          <t>Föryngringsavverkning</t>
        </is>
      </c>
      <c r="D45" s="1" t="n">
        <v>46206</v>
      </c>
      <c r="E45" s="1" t="n">
        <v>46284</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30573-2026</t>
        </is>
      </c>
      <c r="B46" t="inlineStr">
        <is>
          <t>avverkningsanmälan</t>
        </is>
      </c>
      <c r="C46" t="inlineStr">
        <is>
          <t>Föryngringsavverkning</t>
        </is>
      </c>
      <c r="D46" s="1" t="n">
        <v>46210</v>
      </c>
      <c r="E46" s="1" t="n">
        <v>46284</v>
      </c>
      <c r="F46" t="inlineStr">
        <is>
          <t>NORRBOTTENS LÄN</t>
        </is>
      </c>
      <c r="G46" t="inlineStr">
        <is>
          <t>ÄLVSBYN</t>
        </is>
      </c>
      <c r="I46" t="n">
        <v>6.1</v>
      </c>
      <c r="J46" t="n">
        <v>0</v>
      </c>
      <c r="K46" t="n">
        <v>1</v>
      </c>
      <c r="L46" t="n">
        <v>1</v>
      </c>
      <c r="M46" t="n">
        <v>1</v>
      </c>
      <c r="N46" t="n">
        <v>0</v>
      </c>
      <c r="O46" t="n">
        <v>0</v>
      </c>
      <c r="P46" t="n">
        <v>0</v>
      </c>
      <c r="Q46" t="n">
        <v>2</v>
      </c>
      <c r="R46" t="n">
        <v>1</v>
      </c>
      <c r="S46" t="n">
        <v>3</v>
      </c>
      <c r="T46" t="n">
        <v>4</v>
      </c>
      <c r="U46" t="n">
        <v>0</v>
      </c>
      <c r="V46" s="2" t="inlineStr">
        <is>
          <t>Garnlav
Lunglav
Bollvitmossa</t>
        </is>
      </c>
      <c r="W46">
        <f>HYPERLINK("https://klasma.github.io/Logging_2560/artfynd/A 30573-2026 artfynd.xlsx", "A 30573-2026")</f>
        <v/>
      </c>
      <c r="X46">
        <f>HYPERLINK("https://klasma.github.io/Logging_2560/kartor/A 30573-2026 karta.png", "A 30573-2026")</f>
        <v/>
      </c>
      <c r="Y46">
        <f>HYPERLINK("https://klasma.github.io/Logging_2560/kartor_geotiff/A 30573-2026 georefererad karta.tif", "A 30573-2026")</f>
        <v/>
      </c>
      <c r="AA46">
        <f>HYPERLINK("https://klasma.github.io/Logging_2560/klagomål/A 30573-2026 FSC-klagomål.docx", "A 30573-2026")</f>
        <v/>
      </c>
      <c r="AB46">
        <f>HYPERLINK("https://klasma.github.io/Logging_2560/klagomålsmail/A 30573-2026 FSC-klagomål mail.docx", "A 30573-2026")</f>
        <v/>
      </c>
      <c r="AC46">
        <f>HYPERLINK("https://klasma.github.io/Logging_2560/tillsyn/A 30573-2026 tillsynsbegäran.docx", "A 30573-2026")</f>
        <v/>
      </c>
      <c r="AD46">
        <f>HYPERLINK("https://klasma.github.io/Logging_2560/tillsynsmail/A 30573-2026 tillsynsbegäran mail.docx", "A 30573-2026")</f>
        <v/>
      </c>
    </row>
    <row r="47" ht="15" customHeight="1">
      <c r="A47" t="inlineStr">
        <is>
          <t>A 30584-2026</t>
        </is>
      </c>
      <c r="B47" t="inlineStr">
        <is>
          <t>avverkningsanmälan</t>
        </is>
      </c>
      <c r="C47" t="inlineStr">
        <is>
          <t>Föryngringsavverkning</t>
        </is>
      </c>
      <c r="D47" s="1" t="n">
        <v>46210</v>
      </c>
      <c r="E47" s="1" t="n">
        <v>46284</v>
      </c>
      <c r="F47" t="inlineStr">
        <is>
          <t>NORRBOTTENS LÄN</t>
        </is>
      </c>
      <c r="G47" t="inlineStr">
        <is>
          <t>ÄLVSBYN</t>
        </is>
      </c>
      <c r="I47" t="n">
        <v>6.8</v>
      </c>
      <c r="J47" t="n">
        <v>0</v>
      </c>
      <c r="K47" t="n">
        <v>0</v>
      </c>
      <c r="L47" t="n">
        <v>2</v>
      </c>
      <c r="M47" t="n">
        <v>1</v>
      </c>
      <c r="N47" t="n">
        <v>0</v>
      </c>
      <c r="O47" t="n">
        <v>0</v>
      </c>
      <c r="P47" t="n">
        <v>0</v>
      </c>
      <c r="Q47" t="n">
        <v>3</v>
      </c>
      <c r="R47" t="n">
        <v>1</v>
      </c>
      <c r="S47" t="n">
        <v>3</v>
      </c>
      <c r="T47" t="n">
        <v>4</v>
      </c>
      <c r="U47" t="n">
        <v>0</v>
      </c>
      <c r="V47" s="2" t="inlineStr">
        <is>
          <t>Garnlav
Kolflarnlav
Vedskivlav</t>
        </is>
      </c>
      <c r="W47">
        <f>HYPERLINK("https://klasma.github.io/Logging_2560/artfynd/A 30584-2026 artfynd.xlsx", "A 30584-2026")</f>
        <v/>
      </c>
      <c r="X47">
        <f>HYPERLINK("https://klasma.github.io/Logging_2560/kartor/A 30584-2026 karta.png", "A 30584-2026")</f>
        <v/>
      </c>
      <c r="Y47">
        <f>HYPERLINK("https://klasma.github.io/Logging_2560/kartor_geotiff/A 30584-2026 georefererad karta.tif", "A 30584-2026")</f>
        <v/>
      </c>
      <c r="AA47">
        <f>HYPERLINK("https://klasma.github.io/Logging_2560/klagomål/A 30584-2026 FSC-klagomål.docx", "A 30584-2026")</f>
        <v/>
      </c>
      <c r="AB47">
        <f>HYPERLINK("https://klasma.github.io/Logging_2560/klagomålsmail/A 30584-2026 FSC-klagomål mail.docx", "A 30584-2026")</f>
        <v/>
      </c>
      <c r="AC47">
        <f>HYPERLINK("https://klasma.github.io/Logging_2560/tillsyn/A 30584-2026 tillsynsbegäran.docx", "A 30584-2026")</f>
        <v/>
      </c>
      <c r="AD47">
        <f>HYPERLINK("https://klasma.github.io/Logging_2560/tillsynsmail/A 30584-2026 tillsynsbegäran mail.docx", "A 30584-2026")</f>
        <v/>
      </c>
    </row>
    <row r="48" ht="15" customHeight="1">
      <c r="A48" t="inlineStr">
        <is>
          <t>A 30717-2026</t>
        </is>
      </c>
      <c r="B48" t="inlineStr">
        <is>
          <t>avverkningsanmälan</t>
        </is>
      </c>
      <c r="C48" t="inlineStr">
        <is>
          <t>Föryngringsavverkning</t>
        </is>
      </c>
      <c r="D48" s="1" t="n">
        <v>46211</v>
      </c>
      <c r="E48" s="1" t="n">
        <v>46284</v>
      </c>
      <c r="F48" t="inlineStr">
        <is>
          <t>NORRBOTTENS LÄN</t>
        </is>
      </c>
      <c r="G48" t="inlineStr">
        <is>
          <t>ÄLVSBYN</t>
        </is>
      </c>
      <c r="H48" t="inlineStr">
        <is>
          <t>Sveaskog</t>
        </is>
      </c>
      <c r="I48" t="n">
        <v>7.6</v>
      </c>
      <c r="J48" t="n">
        <v>1</v>
      </c>
      <c r="K48" t="n">
        <v>0</v>
      </c>
      <c r="L48" t="n">
        <v>1</v>
      </c>
      <c r="M48" t="n">
        <v>1</v>
      </c>
      <c r="N48" t="n">
        <v>0</v>
      </c>
      <c r="O48" t="n">
        <v>0</v>
      </c>
      <c r="P48" t="n">
        <v>0</v>
      </c>
      <c r="Q48" t="n">
        <v>2</v>
      </c>
      <c r="R48" t="n">
        <v>1</v>
      </c>
      <c r="S48" t="n">
        <v>3</v>
      </c>
      <c r="T48" t="n">
        <v>4</v>
      </c>
      <c r="U48" t="n">
        <v>0</v>
      </c>
      <c r="V48" s="2" t="inlineStr">
        <is>
          <t>Garnlav
Lunglav
Fläcknycklar</t>
        </is>
      </c>
      <c r="W48">
        <f>HYPERLINK("https://klasma.github.io/Logging_2560/artfynd/A 30717-2026 artfynd.xlsx", "A 30717-2026")</f>
        <v/>
      </c>
      <c r="X48">
        <f>HYPERLINK("https://klasma.github.io/Logging_2560/kartor/A 30717-2026 karta.png", "A 30717-2026")</f>
        <v/>
      </c>
      <c r="Y48">
        <f>HYPERLINK("https://klasma.github.io/Logging_2560/kartor_geotiff/A 30717-2026 georefererad karta.tif", "A 30717-2026")</f>
        <v/>
      </c>
      <c r="AA48">
        <f>HYPERLINK("https://klasma.github.io/Logging_2560/klagomål/A 30717-2026 FSC-klagomål.docx", "A 30717-2026")</f>
        <v/>
      </c>
      <c r="AB48">
        <f>HYPERLINK("https://klasma.github.io/Logging_2560/klagomålsmail/A 30717-2026 FSC-klagomål mail.docx", "A 30717-2026")</f>
        <v/>
      </c>
      <c r="AC48">
        <f>HYPERLINK("https://klasma.github.io/Logging_2560/tillsyn/A 30717-2026 tillsynsbegäran.docx", "A 30717-2026")</f>
        <v/>
      </c>
      <c r="AD48">
        <f>HYPERLINK("https://klasma.github.io/Logging_2560/tillsynsmail/A 30717-2026 tillsynsbegäran mail.docx", "A 30717-2026")</f>
        <v/>
      </c>
    </row>
    <row r="49" ht="15" customHeight="1">
      <c r="A49" t="inlineStr">
        <is>
          <t>A 35341-2026</t>
        </is>
      </c>
      <c r="B49" t="inlineStr">
        <is>
          <t>avverkningsanmälan</t>
        </is>
      </c>
      <c r="C49" t="inlineStr">
        <is>
          <t>Föryngringsavverkning</t>
        </is>
      </c>
      <c r="D49" s="1" t="n">
        <v>46261</v>
      </c>
      <c r="E49" s="1" t="n">
        <v>46284</v>
      </c>
      <c r="F49" t="inlineStr">
        <is>
          <t>NORRBOTTENS LÄN</t>
        </is>
      </c>
      <c r="G49" t="inlineStr">
        <is>
          <t>ÄLVSBYN</t>
        </is>
      </c>
      <c r="H49" t="inlineStr">
        <is>
          <t>Sveaskog</t>
        </is>
      </c>
      <c r="I49" t="n">
        <v>3.6</v>
      </c>
      <c r="J49" t="n">
        <v>0</v>
      </c>
      <c r="K49" t="n">
        <v>1</v>
      </c>
      <c r="L49" t="n">
        <v>2</v>
      </c>
      <c r="M49" t="n">
        <v>0</v>
      </c>
      <c r="N49" t="n">
        <v>0</v>
      </c>
      <c r="O49" t="n">
        <v>0</v>
      </c>
      <c r="P49" t="n">
        <v>0</v>
      </c>
      <c r="Q49" t="n">
        <v>2</v>
      </c>
      <c r="R49" t="n">
        <v>0</v>
      </c>
      <c r="S49" t="n">
        <v>3</v>
      </c>
      <c r="T49" t="n">
        <v>3</v>
      </c>
      <c r="U49" t="n">
        <v>0</v>
      </c>
      <c r="V49" s="2" t="inlineStr">
        <is>
          <t>Dropptaggsvamp
Orange taggsvamp
Stuplav</t>
        </is>
      </c>
      <c r="W49">
        <f>HYPERLINK("https://klasma.github.io/Logging_2560/artfynd/A 35341-2026 artfynd.xlsx", "A 35341-2026")</f>
        <v/>
      </c>
      <c r="X49">
        <f>HYPERLINK("https://klasma.github.io/Logging_2560/kartor/A 35341-2026 karta.png", "A 35341-2026")</f>
        <v/>
      </c>
      <c r="Y49">
        <f>HYPERLINK("https://klasma.github.io/Logging_2560/kartor_geotiff/A 35341-2026 georefererad karta.tif", "A 35341-2026")</f>
        <v/>
      </c>
      <c r="AA49">
        <f>HYPERLINK("https://klasma.github.io/Logging_2560/klagomål/A 35341-2026 FSC-klagomål.docx", "A 35341-2026")</f>
        <v/>
      </c>
      <c r="AB49">
        <f>HYPERLINK("https://klasma.github.io/Logging_2560/klagomålsmail/A 35341-2026 FSC-klagomål mail.docx", "A 35341-2026")</f>
        <v/>
      </c>
      <c r="AC49">
        <f>HYPERLINK("https://klasma.github.io/Logging_2560/tillsyn/A 35341-2026 tillsynsbegäran.docx", "A 35341-2026")</f>
        <v/>
      </c>
      <c r="AD49">
        <f>HYPERLINK("https://klasma.github.io/Logging_2560/tillsynsmail/A 35341-2026 tillsynsbegäran mail.docx", "A 35341-2026")</f>
        <v/>
      </c>
    </row>
    <row r="50" ht="15" customHeight="1">
      <c r="A50" t="inlineStr">
        <is>
          <t>A 22567-2025</t>
        </is>
      </c>
      <c r="B50" t="inlineStr">
        <is>
          <t>avverkningsanmälan</t>
        </is>
      </c>
      <c r="C50" t="inlineStr">
        <is>
          <t>Föryngringsavverkning</t>
        </is>
      </c>
      <c r="D50" s="1" t="n">
        <v>45789</v>
      </c>
      <c r="E50" s="1" t="n">
        <v>46284</v>
      </c>
      <c r="F50" t="inlineStr">
        <is>
          <t>NORRBOTTENS LÄN</t>
        </is>
      </c>
      <c r="G50" t="inlineStr">
        <is>
          <t>ÄLVSBYN</t>
        </is>
      </c>
      <c r="H50" t="inlineStr">
        <is>
          <t>Sveaskog</t>
        </is>
      </c>
      <c r="I50" t="n">
        <v>3.1</v>
      </c>
      <c r="J50" t="n">
        <v>0</v>
      </c>
      <c r="K50" t="n">
        <v>0</v>
      </c>
      <c r="L50" t="n">
        <v>1</v>
      </c>
      <c r="M50" t="n">
        <v>2</v>
      </c>
      <c r="N50" t="n">
        <v>0</v>
      </c>
      <c r="O50" t="n">
        <v>0</v>
      </c>
      <c r="P50" t="n">
        <v>0</v>
      </c>
      <c r="Q50" t="n">
        <v>3</v>
      </c>
      <c r="R50" t="n">
        <v>2</v>
      </c>
      <c r="S50" t="n">
        <v>3</v>
      </c>
      <c r="T50" t="n">
        <v>3</v>
      </c>
      <c r="U50" t="n">
        <v>0</v>
      </c>
      <c r="V50" s="2" t="inlineStr">
        <is>
          <t>Rotfingersvamp
Skrovlig taggsvamp
Orange taggsvamp</t>
        </is>
      </c>
      <c r="W50">
        <f>HYPERLINK("https://klasma.github.io/Logging_2560/artfynd/A 22567-2025 artfynd.xlsx", "A 22567-2025")</f>
        <v/>
      </c>
      <c r="X50">
        <f>HYPERLINK("https://klasma.github.io/Logging_2560/kartor/A 22567-2025 karta.png", "A 22567-2025")</f>
        <v/>
      </c>
      <c r="Y50">
        <f>HYPERLINK("https://klasma.github.io/Logging_2560/kartor_geotiff/A 22567-2025 georefererad karta.tif", "A 22567-2025")</f>
        <v/>
      </c>
      <c r="AA50">
        <f>HYPERLINK("https://klasma.github.io/Logging_2560/klagomål/A 22567-2025 FSC-klagomål.docx", "A 22567-2025")</f>
        <v/>
      </c>
      <c r="AB50">
        <f>HYPERLINK("https://klasma.github.io/Logging_2560/klagomålsmail/A 22567-2025 FSC-klagomål mail.docx", "A 22567-2025")</f>
        <v/>
      </c>
      <c r="AC50">
        <f>HYPERLINK("https://klasma.github.io/Logging_2560/tillsyn/A 22567-2025 tillsynsbegäran.docx", "A 22567-2025")</f>
        <v/>
      </c>
      <c r="AD50">
        <f>HYPERLINK("https://klasma.github.io/Logging_2560/tillsynsmail/A 22567-2025 tillsynsbegäran mail.docx", "A 22567-2025")</f>
        <v/>
      </c>
    </row>
    <row r="51" ht="15" customHeight="1">
      <c r="A51" t="inlineStr">
        <is>
          <t>A 34304-2025</t>
        </is>
      </c>
      <c r="B51" t="inlineStr">
        <is>
          <t>avverkningsanmälan</t>
        </is>
      </c>
      <c r="C51" t="inlineStr">
        <is>
          <t>Föryngringsavverkning</t>
        </is>
      </c>
      <c r="D51" s="1" t="n">
        <v>45846</v>
      </c>
      <c r="E51" s="1" t="n">
        <v>46284</v>
      </c>
      <c r="F51" t="inlineStr">
        <is>
          <t>NORRBOTTENS LÄN</t>
        </is>
      </c>
      <c r="G51" t="inlineStr">
        <is>
          <t>ÄLVSBYN</t>
        </is>
      </c>
      <c r="H51" t="inlineStr">
        <is>
          <t>Sveaskog</t>
        </is>
      </c>
      <c r="I51" t="n">
        <v>35.7</v>
      </c>
      <c r="J51" t="n">
        <v>2</v>
      </c>
      <c r="K51" t="n">
        <v>0</v>
      </c>
      <c r="L51" t="n">
        <v>1</v>
      </c>
      <c r="M51" t="n">
        <v>0</v>
      </c>
      <c r="N51" t="n">
        <v>0</v>
      </c>
      <c r="O51" t="n">
        <v>0</v>
      </c>
      <c r="P51" t="n">
        <v>0</v>
      </c>
      <c r="Q51" t="n">
        <v>1</v>
      </c>
      <c r="R51" t="n">
        <v>0</v>
      </c>
      <c r="S51" t="n">
        <v>3</v>
      </c>
      <c r="T51" t="n">
        <v>6</v>
      </c>
      <c r="U51" t="n">
        <v>0</v>
      </c>
      <c r="V51" s="2" t="inlineStr">
        <is>
          <t>Orange taggsvamp
Fläcknycklar
Revlummer</t>
        </is>
      </c>
      <c r="W51">
        <f>HYPERLINK("https://klasma.github.io/Logging_2560/artfynd/A 34304-2025 artfynd.xlsx", "A 34304-2025")</f>
        <v/>
      </c>
      <c r="X51">
        <f>HYPERLINK("https://klasma.github.io/Logging_2560/kartor/A 34304-2025 karta.png", "A 34304-2025")</f>
        <v/>
      </c>
      <c r="Y51">
        <f>HYPERLINK("https://klasma.github.io/Logging_2560/kartor_geotiff/A 34304-2025 georefererad karta.tif", "A 34304-2025")</f>
        <v/>
      </c>
      <c r="AA51">
        <f>HYPERLINK("https://klasma.github.io/Logging_2560/klagomål/A 34304-2025 FSC-klagomål.docx", "A 34304-2025")</f>
        <v/>
      </c>
      <c r="AB51">
        <f>HYPERLINK("https://klasma.github.io/Logging_2560/klagomålsmail/A 34304-2025 FSC-klagomål mail.docx", "A 34304-2025")</f>
        <v/>
      </c>
      <c r="AC51">
        <f>HYPERLINK("https://klasma.github.io/Logging_2560/tillsyn/A 34304-2025 tillsynsbegäran.docx", "A 34304-2025")</f>
        <v/>
      </c>
      <c r="AD51">
        <f>HYPERLINK("https://klasma.github.io/Logging_2560/tillsynsmail/A 34304-2025 tillsynsbegäran mail.docx", "A 34304-2025")</f>
        <v/>
      </c>
    </row>
    <row r="52" ht="15" customHeight="1">
      <c r="A52" t="inlineStr">
        <is>
          <t>A 16470-2022</t>
        </is>
      </c>
      <c r="B52" t="inlineStr">
        <is>
          <t>avverkningsanmälan</t>
        </is>
      </c>
      <c r="C52" t="inlineStr">
        <is>
          <t>Avverkning för att bevara och utveckla /försöksver</t>
        </is>
      </c>
      <c r="D52" s="1" t="n">
        <v>44671</v>
      </c>
      <c r="E52" s="1" t="n">
        <v>46284</v>
      </c>
      <c r="F52" t="inlineStr">
        <is>
          <t>NORRBOTTENS LÄN</t>
        </is>
      </c>
      <c r="G52" t="inlineStr">
        <is>
          <t>ÄLVSBYN</t>
        </is>
      </c>
      <c r="H52" t="inlineStr">
        <is>
          <t>Sveaskog</t>
        </is>
      </c>
      <c r="I52" t="n">
        <v>6.6</v>
      </c>
      <c r="J52" t="n">
        <v>0</v>
      </c>
      <c r="K52" t="n">
        <v>0</v>
      </c>
      <c r="L52" t="n">
        <v>2</v>
      </c>
      <c r="M52" t="n">
        <v>0</v>
      </c>
      <c r="N52" t="n">
        <v>0</v>
      </c>
      <c r="O52" t="n">
        <v>0</v>
      </c>
      <c r="P52" t="n">
        <v>0</v>
      </c>
      <c r="Q52" t="n">
        <v>2</v>
      </c>
      <c r="R52" t="n">
        <v>0</v>
      </c>
      <c r="S52" t="n">
        <v>2</v>
      </c>
      <c r="T52" t="n">
        <v>2</v>
      </c>
      <c r="U52" t="n">
        <v>1</v>
      </c>
      <c r="V52" s="2" t="inlineStr">
        <is>
          <t>Kolflarnlav
Tallticka</t>
        </is>
      </c>
      <c r="W52">
        <f>HYPERLINK("https://klasma.github.io/Logging_2560/artfynd/A 16470-2022 artfynd.xlsx", "A 16470-2022")</f>
        <v/>
      </c>
      <c r="X52">
        <f>HYPERLINK("https://klasma.github.io/Logging_2560/kartor/A 16470-2022 karta.png", "A 16470-2022")</f>
        <v/>
      </c>
      <c r="Y52">
        <f>HYPERLINK("https://klasma.github.io/Logging_2560/kartor_geotiff/A 16470-2022 georefererad karta.tif", "A 16470-2022")</f>
        <v/>
      </c>
      <c r="AA52">
        <f>HYPERLINK("https://klasma.github.io/Logging_2560/klagomål/A 16470-2022 FSC-klagomål.docx", "A 16470-2022")</f>
        <v/>
      </c>
      <c r="AB52">
        <f>HYPERLINK("https://klasma.github.io/Logging_2560/klagomålsmail/A 16470-2022 FSC-klagomål mail.docx", "A 16470-2022")</f>
        <v/>
      </c>
      <c r="AC52">
        <f>HYPERLINK("https://klasma.github.io/Logging_2560/tillsyn/A 16470-2022 tillsynsbegäran.docx", "A 16470-2022")</f>
        <v/>
      </c>
      <c r="AD52">
        <f>HYPERLINK("https://klasma.github.io/Logging_2560/tillsynsmail/A 16470-2022 tillsynsbegäran mail.docx", "A 16470-2022")</f>
        <v/>
      </c>
    </row>
    <row r="53" ht="15" customHeight="1">
      <c r="A53" t="inlineStr">
        <is>
          <t>A 52513-2022</t>
        </is>
      </c>
      <c r="B53" t="inlineStr">
        <is>
          <t>avverkningsanmälan</t>
        </is>
      </c>
      <c r="C53" t="inlineStr">
        <is>
          <t>Avverkning för att bevara och utveckla /försöksver</t>
        </is>
      </c>
      <c r="D53" s="1" t="n">
        <v>44874</v>
      </c>
      <c r="E53" s="1" t="n">
        <v>46284</v>
      </c>
      <c r="F53" t="inlineStr">
        <is>
          <t>NORRBOTTENS LÄN</t>
        </is>
      </c>
      <c r="G53" t="inlineStr">
        <is>
          <t>ÄLVSBYN</t>
        </is>
      </c>
      <c r="H53" t="inlineStr">
        <is>
          <t>Sveaskog</t>
        </is>
      </c>
      <c r="I53" t="n">
        <v>2.3</v>
      </c>
      <c r="J53" t="n">
        <v>0</v>
      </c>
      <c r="K53" t="n">
        <v>0</v>
      </c>
      <c r="L53" t="n">
        <v>2</v>
      </c>
      <c r="M53" t="n">
        <v>0</v>
      </c>
      <c r="N53" t="n">
        <v>0</v>
      </c>
      <c r="O53" t="n">
        <v>0</v>
      </c>
      <c r="P53" t="n">
        <v>0</v>
      </c>
      <c r="Q53" t="n">
        <v>2</v>
      </c>
      <c r="R53" t="n">
        <v>0</v>
      </c>
      <c r="S53" t="n">
        <v>2</v>
      </c>
      <c r="T53" t="n">
        <v>3</v>
      </c>
      <c r="U53" t="n">
        <v>0</v>
      </c>
      <c r="V53" s="2" t="inlineStr">
        <is>
          <t>Gammelgransskål
Lunglav</t>
        </is>
      </c>
      <c r="W53">
        <f>HYPERLINK("https://klasma.github.io/Logging_2560/artfynd/A 52513-2022 artfynd.xlsx", "A 52513-2022")</f>
        <v/>
      </c>
      <c r="X53">
        <f>HYPERLINK("https://klasma.github.io/Logging_2560/kartor/A 52513-2022 karta.png", "A 52513-2022")</f>
        <v/>
      </c>
      <c r="Y53">
        <f>HYPERLINK("https://klasma.github.io/Logging_2560/kartor_geotiff/A 52513-2022 georefererad karta.tif", "A 52513-2022")</f>
        <v/>
      </c>
      <c r="AA53">
        <f>HYPERLINK("https://klasma.github.io/Logging_2560/klagomål/A 52513-2022 FSC-klagomål.docx", "A 52513-2022")</f>
        <v/>
      </c>
      <c r="AB53">
        <f>HYPERLINK("https://klasma.github.io/Logging_2560/klagomålsmail/A 52513-2022 FSC-klagomål mail.docx", "A 52513-2022")</f>
        <v/>
      </c>
      <c r="AC53">
        <f>HYPERLINK("https://klasma.github.io/Logging_2560/tillsyn/A 52513-2022 tillsynsbegäran.docx", "A 52513-2022")</f>
        <v/>
      </c>
      <c r="AD53">
        <f>HYPERLINK("https://klasma.github.io/Logging_2560/tillsynsmail/A 52513-2022 tillsynsbegäran mail.docx", "A 52513-2022")</f>
        <v/>
      </c>
    </row>
    <row r="54" ht="15" customHeight="1">
      <c r="A54" t="inlineStr">
        <is>
          <t>A 16255-2024</t>
        </is>
      </c>
      <c r="B54" t="inlineStr">
        <is>
          <t>avverkningsanmälan</t>
        </is>
      </c>
      <c r="C54" t="inlineStr">
        <is>
          <t>Föryngringsavverkning</t>
        </is>
      </c>
      <c r="D54" s="1" t="n">
        <v>45407</v>
      </c>
      <c r="E54" s="1" t="n">
        <v>46284</v>
      </c>
      <c r="F54" t="inlineStr">
        <is>
          <t>NORRBOTTENS LÄN</t>
        </is>
      </c>
      <c r="G54" t="inlineStr">
        <is>
          <t>ÄLVSBYN</t>
        </is>
      </c>
      <c r="H54" t="inlineStr">
        <is>
          <t>SCA</t>
        </is>
      </c>
      <c r="I54" t="n">
        <v>18.5</v>
      </c>
      <c r="J54" t="n">
        <v>1</v>
      </c>
      <c r="K54" t="n">
        <v>1</v>
      </c>
      <c r="L54" t="n">
        <v>1</v>
      </c>
      <c r="M54" t="n">
        <v>0</v>
      </c>
      <c r="N54" t="n">
        <v>0</v>
      </c>
      <c r="O54" t="n">
        <v>0</v>
      </c>
      <c r="P54" t="n">
        <v>0</v>
      </c>
      <c r="Q54" t="n">
        <v>1</v>
      </c>
      <c r="R54" t="n">
        <v>0</v>
      </c>
      <c r="S54" t="n">
        <v>2</v>
      </c>
      <c r="T54" t="n">
        <v>2</v>
      </c>
      <c r="U54" t="n">
        <v>0</v>
      </c>
      <c r="V54" s="2" t="inlineStr">
        <is>
          <t>Gammelgransskål
Lappranunkel</t>
        </is>
      </c>
      <c r="W54">
        <f>HYPERLINK("https://klasma.github.io/Logging_2560/artfynd/A 16255-2024 artfynd.xlsx", "A 16255-2024")</f>
        <v/>
      </c>
      <c r="X54">
        <f>HYPERLINK("https://klasma.github.io/Logging_2560/kartor/A 16255-2024 karta.png", "A 16255-2024")</f>
        <v/>
      </c>
      <c r="Y54">
        <f>HYPERLINK("https://klasma.github.io/Logging_2560/kartor_geotiff/A 16255-2024 georefererad karta.tif", "A 16255-2024")</f>
        <v/>
      </c>
      <c r="AA54">
        <f>HYPERLINK("https://klasma.github.io/Logging_2560/klagomål/A 16255-2024 FSC-klagomål.docx", "A 16255-2024")</f>
        <v/>
      </c>
      <c r="AB54">
        <f>HYPERLINK("https://klasma.github.io/Logging_2560/klagomålsmail/A 16255-2024 FSC-klagomål mail.docx", "A 16255-2024")</f>
        <v/>
      </c>
      <c r="AC54">
        <f>HYPERLINK("https://klasma.github.io/Logging_2560/tillsyn/A 16255-2024 tillsynsbegäran.docx", "A 16255-2024")</f>
        <v/>
      </c>
      <c r="AD54">
        <f>HYPERLINK("https://klasma.github.io/Logging_2560/tillsynsmail/A 16255-2024 tillsynsbegäran mail.docx", "A 16255-2024")</f>
        <v/>
      </c>
    </row>
    <row r="55" ht="15" customHeight="1">
      <c r="A55" t="inlineStr">
        <is>
          <t>A 55038-2024</t>
        </is>
      </c>
      <c r="B55" t="inlineStr">
        <is>
          <t>avverkningsanmälan</t>
        </is>
      </c>
      <c r="C55" t="inlineStr">
        <is>
          <t>Föryngringsavverkning</t>
        </is>
      </c>
      <c r="D55" s="1" t="n">
        <v>45621</v>
      </c>
      <c r="E55" s="1" t="n">
        <v>46284</v>
      </c>
      <c r="F55" t="inlineStr">
        <is>
          <t>NORRBOTTENS LÄN</t>
        </is>
      </c>
      <c r="G55" t="inlineStr">
        <is>
          <t>ÄLVSBYN</t>
        </is>
      </c>
      <c r="H55" t="inlineStr">
        <is>
          <t>Sveaskog</t>
        </is>
      </c>
      <c r="I55" t="n">
        <v>39</v>
      </c>
      <c r="J55" t="n">
        <v>0</v>
      </c>
      <c r="K55" t="n">
        <v>1</v>
      </c>
      <c r="L55" t="n">
        <v>1</v>
      </c>
      <c r="M55" t="n">
        <v>0</v>
      </c>
      <c r="N55" t="n">
        <v>0</v>
      </c>
      <c r="O55" t="n">
        <v>0</v>
      </c>
      <c r="P55" t="n">
        <v>0</v>
      </c>
      <c r="Q55" t="n">
        <v>1</v>
      </c>
      <c r="R55" t="n">
        <v>0</v>
      </c>
      <c r="S55" t="n">
        <v>2</v>
      </c>
      <c r="T55" t="n">
        <v>6</v>
      </c>
      <c r="U55" t="n">
        <v>0</v>
      </c>
      <c r="V55" s="2" t="inlineStr">
        <is>
          <t>Lunglav
Stuplav</t>
        </is>
      </c>
      <c r="W55">
        <f>HYPERLINK("https://klasma.github.io/Logging_2560/artfynd/A 55038-2024 artfynd.xlsx", "A 55038-2024")</f>
        <v/>
      </c>
      <c r="X55">
        <f>HYPERLINK("https://klasma.github.io/Logging_2560/kartor/A 55038-2024 karta.png", "A 55038-2024")</f>
        <v/>
      </c>
      <c r="Y55">
        <f>HYPERLINK("https://klasma.github.io/Logging_2560/kartor_geotiff/A 55038-2024 georefererad karta.tif", "A 55038-2024")</f>
        <v/>
      </c>
      <c r="AA55">
        <f>HYPERLINK("https://klasma.github.io/Logging_2560/klagomål/A 55038-2024 FSC-klagomål.docx", "A 55038-2024")</f>
        <v/>
      </c>
      <c r="AB55">
        <f>HYPERLINK("https://klasma.github.io/Logging_2560/klagomålsmail/A 55038-2024 FSC-klagomål mail.docx", "A 55038-2024")</f>
        <v/>
      </c>
      <c r="AC55">
        <f>HYPERLINK("https://klasma.github.io/Logging_2560/tillsyn/A 55038-2024 tillsynsbegäran.docx", "A 55038-2024")</f>
        <v/>
      </c>
      <c r="AD55">
        <f>HYPERLINK("https://klasma.github.io/Logging_2560/tillsynsmail/A 55038-2024 tillsynsbegäran mail.docx", "A 55038-2024")</f>
        <v/>
      </c>
    </row>
    <row r="56" ht="15" customHeight="1">
      <c r="A56" t="inlineStr">
        <is>
          <t>A 47982-2025</t>
        </is>
      </c>
      <c r="B56" t="inlineStr">
        <is>
          <t>avverkningsanmälan</t>
        </is>
      </c>
      <c r="C56" t="inlineStr">
        <is>
          <t>Föryngringsavverkning</t>
        </is>
      </c>
      <c r="D56" s="1" t="n">
        <v>45932</v>
      </c>
      <c r="E56" s="1" t="n">
        <v>46284</v>
      </c>
      <c r="F56" t="inlineStr">
        <is>
          <t>NORRBOTTENS LÄN</t>
        </is>
      </c>
      <c r="G56" t="inlineStr">
        <is>
          <t>ÄLVSBYN</t>
        </is>
      </c>
      <c r="H56" t="inlineStr">
        <is>
          <t>Sveaskog</t>
        </is>
      </c>
      <c r="I56" t="n">
        <v>40.5</v>
      </c>
      <c r="J56" t="n">
        <v>0</v>
      </c>
      <c r="K56" t="n">
        <v>0</v>
      </c>
      <c r="L56" t="n">
        <v>1</v>
      </c>
      <c r="M56" t="n">
        <v>1</v>
      </c>
      <c r="N56" t="n">
        <v>0</v>
      </c>
      <c r="O56" t="n">
        <v>0</v>
      </c>
      <c r="P56" t="n">
        <v>0</v>
      </c>
      <c r="Q56" t="n">
        <v>2</v>
      </c>
      <c r="R56" t="n">
        <v>1</v>
      </c>
      <c r="S56" t="n">
        <v>2</v>
      </c>
      <c r="T56" t="n">
        <v>2</v>
      </c>
      <c r="U56" t="n">
        <v>2</v>
      </c>
      <c r="V56" s="2" t="inlineStr">
        <is>
          <t>Garnlav
Lunglav</t>
        </is>
      </c>
      <c r="W56">
        <f>HYPERLINK("https://klasma.github.io/Logging_2560/artfynd/A 47982-2025 artfynd.xlsx", "A 47982-2025")</f>
        <v/>
      </c>
      <c r="X56">
        <f>HYPERLINK("https://klasma.github.io/Logging_2560/kartor/A 47982-2025 karta.png", "A 47982-2025")</f>
        <v/>
      </c>
      <c r="Y56">
        <f>HYPERLINK("https://klasma.github.io/Logging_2560/kartor_geotiff/A 47982-2025 georefererad karta.tif", "A 47982-2025")</f>
        <v/>
      </c>
      <c r="AA56">
        <f>HYPERLINK("https://klasma.github.io/Logging_2560/klagomål/A 47982-2025 FSC-klagomål.docx", "A 47982-2025")</f>
        <v/>
      </c>
      <c r="AB56">
        <f>HYPERLINK("https://klasma.github.io/Logging_2560/klagomålsmail/A 47982-2025 FSC-klagomål mail.docx", "A 47982-2025")</f>
        <v/>
      </c>
      <c r="AC56">
        <f>HYPERLINK("https://klasma.github.io/Logging_2560/tillsyn/A 47982-2025 tillsynsbegäran.docx", "A 47982-2025")</f>
        <v/>
      </c>
      <c r="AD56">
        <f>HYPERLINK("https://klasma.github.io/Logging_2560/tillsynsmail/A 47982-2025 tillsynsbegäran mail.docx", "A 47982-2025")</f>
        <v/>
      </c>
    </row>
    <row r="57" ht="15" customHeight="1">
      <c r="A57" t="inlineStr">
        <is>
          <t>A 50430-2025</t>
        </is>
      </c>
      <c r="B57" t="inlineStr">
        <is>
          <t>avverkningsanmälan</t>
        </is>
      </c>
      <c r="C57" t="inlineStr">
        <is>
          <t>Föryngringsavverkning</t>
        </is>
      </c>
      <c r="D57" s="1" t="n">
        <v>45944</v>
      </c>
      <c r="E57" s="1" t="n">
        <v>46284</v>
      </c>
      <c r="F57" t="inlineStr">
        <is>
          <t>NORRBOTTENS LÄN</t>
        </is>
      </c>
      <c r="G57" t="inlineStr">
        <is>
          <t>ÄLVSBYN</t>
        </is>
      </c>
      <c r="H57" t="inlineStr">
        <is>
          <t>Sveaskog</t>
        </is>
      </c>
      <c r="I57" t="n">
        <v>5.2</v>
      </c>
      <c r="J57" t="n">
        <v>0</v>
      </c>
      <c r="K57" t="n">
        <v>0</v>
      </c>
      <c r="L57" t="n">
        <v>2</v>
      </c>
      <c r="M57" t="n">
        <v>0</v>
      </c>
      <c r="N57" t="n">
        <v>0</v>
      </c>
      <c r="O57" t="n">
        <v>0</v>
      </c>
      <c r="P57" t="n">
        <v>0</v>
      </c>
      <c r="Q57" t="n">
        <v>2</v>
      </c>
      <c r="R57" t="n">
        <v>0</v>
      </c>
      <c r="S57" t="n">
        <v>2</v>
      </c>
      <c r="T57" t="n">
        <v>4</v>
      </c>
      <c r="U57" t="n">
        <v>0</v>
      </c>
      <c r="V57" s="2" t="inlineStr">
        <is>
          <t>Dropptaggsvamp
Kolflarnlav</t>
        </is>
      </c>
      <c r="W57">
        <f>HYPERLINK("https://klasma.github.io/Logging_2560/artfynd/A 50430-2025 artfynd.xlsx", "A 50430-2025")</f>
        <v/>
      </c>
      <c r="X57">
        <f>HYPERLINK("https://klasma.github.io/Logging_2560/kartor/A 50430-2025 karta.png", "A 50430-2025")</f>
        <v/>
      </c>
      <c r="Y57">
        <f>HYPERLINK("https://klasma.github.io/Logging_2560/kartor_geotiff/A 50430-2025 georefererad karta.tif", "A 50430-2025")</f>
        <v/>
      </c>
      <c r="AA57">
        <f>HYPERLINK("https://klasma.github.io/Logging_2560/klagomål/A 50430-2025 FSC-klagomål.docx", "A 50430-2025")</f>
        <v/>
      </c>
      <c r="AB57">
        <f>HYPERLINK("https://klasma.github.io/Logging_2560/klagomålsmail/A 50430-2025 FSC-klagomål mail.docx", "A 50430-2025")</f>
        <v/>
      </c>
      <c r="AC57">
        <f>HYPERLINK("https://klasma.github.io/Logging_2560/tillsyn/A 50430-2025 tillsynsbegäran.docx", "A 50430-2025")</f>
        <v/>
      </c>
      <c r="AD57">
        <f>HYPERLINK("https://klasma.github.io/Logging_2560/tillsynsmail/A 50430-2025 tillsynsbegäran mail.docx", "A 50430-2025")</f>
        <v/>
      </c>
    </row>
    <row r="58" ht="15" customHeight="1">
      <c r="A58" t="inlineStr">
        <is>
          <t>A 57390-2025</t>
        </is>
      </c>
      <c r="B58" t="inlineStr">
        <is>
          <t>avverkningsanmälan</t>
        </is>
      </c>
      <c r="C58" t="inlineStr">
        <is>
          <t>Föryngringsavverkning</t>
        </is>
      </c>
      <c r="D58" s="1" t="n">
        <v>45980</v>
      </c>
      <c r="E58" s="1" t="n">
        <v>46284</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44733-2024</t>
        </is>
      </c>
      <c r="B59" t="inlineStr">
        <is>
          <t>avverkningsanmälan</t>
        </is>
      </c>
      <c r="C59" t="inlineStr">
        <is>
          <t>Föryngringsavverkning</t>
        </is>
      </c>
      <c r="D59" s="1" t="n">
        <v>45574</v>
      </c>
      <c r="E59" s="1" t="n">
        <v>46284</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32818-2024</t>
        </is>
      </c>
      <c r="B60" t="inlineStr">
        <is>
          <t>avverkningsanmälan</t>
        </is>
      </c>
      <c r="C60" t="inlineStr">
        <is>
          <t>Föryngringsavverkning</t>
        </is>
      </c>
      <c r="D60" s="1" t="n">
        <v>45516</v>
      </c>
      <c r="E60" s="1" t="n">
        <v>46284</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23808-2026</t>
        </is>
      </c>
      <c r="B61" t="inlineStr">
        <is>
          <t>avverkningsanmälan</t>
        </is>
      </c>
      <c r="C61" t="inlineStr">
        <is>
          <t>Föryngringsavverkning</t>
        </is>
      </c>
      <c r="D61" s="1" t="n">
        <v>46164</v>
      </c>
      <c r="E61" s="1" t="n">
        <v>46284</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3</v>
      </c>
      <c r="U61" t="n">
        <v>1</v>
      </c>
      <c r="V61" s="2" t="inlineStr">
        <is>
          <t>Lunglav
Bollvitmossa</t>
        </is>
      </c>
      <c r="W61">
        <f>HYPERLINK("https://klasma.github.io/Logging_2560/artfynd/A 23808-2026 artfynd.xlsx", "A 23808-2026")</f>
        <v/>
      </c>
      <c r="X61">
        <f>HYPERLINK("https://klasma.github.io/Logging_2560/kartor/A 23808-2026 karta.png", "A 23808-2026")</f>
        <v/>
      </c>
      <c r="Y61">
        <f>HYPERLINK("https://klasma.github.io/Logging_2560/kartor_geotiff/A 23808-2026 georefererad karta.tif", "A 23808-2026")</f>
        <v/>
      </c>
      <c r="AA61">
        <f>HYPERLINK("https://klasma.github.io/Logging_2560/klagomål/A 23808-2026 FSC-klagomål.docx", "A 23808-2026")</f>
        <v/>
      </c>
      <c r="AB61">
        <f>HYPERLINK("https://klasma.github.io/Logging_2560/klagomålsmail/A 23808-2026 FSC-klagomål mail.docx", "A 23808-2026")</f>
        <v/>
      </c>
      <c r="AC61">
        <f>HYPERLINK("https://klasma.github.io/Logging_2560/tillsyn/A 23808-2026 tillsynsbegäran.docx", "A 23808-2026")</f>
        <v/>
      </c>
      <c r="AD61">
        <f>HYPERLINK("https://klasma.github.io/Logging_2560/tillsynsmail/A 23808-2026 tillsynsbegäran mail.docx", "A 23808-2026")</f>
        <v/>
      </c>
    </row>
    <row r="62" ht="15" customHeight="1">
      <c r="A62" t="inlineStr">
        <is>
          <t>A 23136-2024</t>
        </is>
      </c>
      <c r="B62" t="inlineStr">
        <is>
          <t>avverkningsanmälan</t>
        </is>
      </c>
      <c r="C62" t="inlineStr">
        <is>
          <t>Föryngringsavverkning</t>
        </is>
      </c>
      <c r="D62" s="1" t="n">
        <v>45450</v>
      </c>
      <c r="E62" s="1" t="n">
        <v>46284</v>
      </c>
      <c r="F62" t="inlineStr">
        <is>
          <t>NORRBOTTENS LÄN</t>
        </is>
      </c>
      <c r="G62" t="inlineStr">
        <is>
          <t>ÄLVSBYN</t>
        </is>
      </c>
      <c r="H62" t="inlineStr">
        <is>
          <t>Sveaskog</t>
        </is>
      </c>
      <c r="I62" t="n">
        <v>3.4</v>
      </c>
      <c r="J62" t="n">
        <v>0</v>
      </c>
      <c r="K62" t="n">
        <v>1</v>
      </c>
      <c r="L62" t="n">
        <v>1</v>
      </c>
      <c r="M62" t="n">
        <v>0</v>
      </c>
      <c r="N62" t="n">
        <v>0</v>
      </c>
      <c r="O62" t="n">
        <v>0</v>
      </c>
      <c r="P62" t="n">
        <v>0</v>
      </c>
      <c r="Q62" t="n">
        <v>1</v>
      </c>
      <c r="R62" t="n">
        <v>0</v>
      </c>
      <c r="S62" t="n">
        <v>2</v>
      </c>
      <c r="T62" t="n">
        <v>2</v>
      </c>
      <c r="U62" t="n">
        <v>2</v>
      </c>
      <c r="V62" s="2" t="inlineStr">
        <is>
          <t>Lunglav
Stuplav</t>
        </is>
      </c>
      <c r="W62">
        <f>HYPERLINK("https://klasma.github.io/Logging_2560/artfynd/A 23136-2024 artfynd.xlsx", "A 23136-2024")</f>
        <v/>
      </c>
      <c r="X62">
        <f>HYPERLINK("https://klasma.github.io/Logging_2560/kartor/A 23136-2024 karta.png", "A 23136-2024")</f>
        <v/>
      </c>
      <c r="Y62">
        <f>HYPERLINK("https://klasma.github.io/Logging_2560/kartor_geotiff/A 23136-2024 georefererad karta.tif", "A 23136-2024")</f>
        <v/>
      </c>
      <c r="AA62">
        <f>HYPERLINK("https://klasma.github.io/Logging_2560/klagomål/A 23136-2024 FSC-klagomål.docx", "A 23136-2024")</f>
        <v/>
      </c>
      <c r="AB62">
        <f>HYPERLINK("https://klasma.github.io/Logging_2560/klagomålsmail/A 23136-2024 FSC-klagomål mail.docx", "A 23136-2024")</f>
        <v/>
      </c>
      <c r="AC62">
        <f>HYPERLINK("https://klasma.github.io/Logging_2560/tillsyn/A 23136-2024 tillsynsbegäran.docx", "A 23136-2024")</f>
        <v/>
      </c>
      <c r="AD62">
        <f>HYPERLINK("https://klasma.github.io/Logging_2560/tillsynsmail/A 23136-2024 tillsynsbegäran mail.docx", "A 23136-2024")</f>
        <v/>
      </c>
    </row>
    <row r="63" ht="15" customHeight="1">
      <c r="A63" t="inlineStr">
        <is>
          <t>A 28121-2026</t>
        </is>
      </c>
      <c r="B63" t="inlineStr">
        <is>
          <t>avverkningsanmälan</t>
        </is>
      </c>
      <c r="C63" t="inlineStr">
        <is>
          <t>Föryngringsavverkning</t>
        </is>
      </c>
      <c r="D63" s="1" t="n">
        <v>46195</v>
      </c>
      <c r="E63" s="1" t="n">
        <v>46284</v>
      </c>
      <c r="F63" t="inlineStr">
        <is>
          <t>NORRBOTTENS LÄN</t>
        </is>
      </c>
      <c r="G63" t="inlineStr">
        <is>
          <t>ÄLVSBYN</t>
        </is>
      </c>
      <c r="H63" t="inlineStr">
        <is>
          <t>Sveaskog</t>
        </is>
      </c>
      <c r="I63" t="n">
        <v>11.5</v>
      </c>
      <c r="J63" t="n">
        <v>0</v>
      </c>
      <c r="K63" t="n">
        <v>0</v>
      </c>
      <c r="L63" t="n">
        <v>2</v>
      </c>
      <c r="M63" t="n">
        <v>0</v>
      </c>
      <c r="N63" t="n">
        <v>0</v>
      </c>
      <c r="O63" t="n">
        <v>0</v>
      </c>
      <c r="P63" t="n">
        <v>0</v>
      </c>
      <c r="Q63" t="n">
        <v>2</v>
      </c>
      <c r="R63" t="n">
        <v>0</v>
      </c>
      <c r="S63" t="n">
        <v>2</v>
      </c>
      <c r="T63" t="n">
        <v>4</v>
      </c>
      <c r="U63" t="n">
        <v>0</v>
      </c>
      <c r="V63" s="2" t="inlineStr">
        <is>
          <t>Orange taggsvamp
Skarp dropptaggsvamp</t>
        </is>
      </c>
      <c r="W63">
        <f>HYPERLINK("https://klasma.github.io/Logging_2560/artfynd/A 28121-2026 artfynd.xlsx", "A 28121-2026")</f>
        <v/>
      </c>
      <c r="X63">
        <f>HYPERLINK("https://klasma.github.io/Logging_2560/kartor/A 28121-2026 karta.png", "A 28121-2026")</f>
        <v/>
      </c>
      <c r="Y63">
        <f>HYPERLINK("https://klasma.github.io/Logging_2560/kartor_geotiff/A 28121-2026 georefererad karta.tif", "A 28121-2026")</f>
        <v/>
      </c>
      <c r="AA63">
        <f>HYPERLINK("https://klasma.github.io/Logging_2560/klagomål/A 28121-2026 FSC-klagomål.docx", "A 28121-2026")</f>
        <v/>
      </c>
      <c r="AB63">
        <f>HYPERLINK("https://klasma.github.io/Logging_2560/klagomålsmail/A 28121-2026 FSC-klagomål mail.docx", "A 28121-2026")</f>
        <v/>
      </c>
      <c r="AC63">
        <f>HYPERLINK("https://klasma.github.io/Logging_2560/tillsyn/A 28121-2026 tillsynsbegäran.docx", "A 28121-2026")</f>
        <v/>
      </c>
      <c r="AD63">
        <f>HYPERLINK("https://klasma.github.io/Logging_2560/tillsynsmail/A 28121-2026 tillsynsbegäran mail.docx", "A 28121-2026")</f>
        <v/>
      </c>
    </row>
    <row r="64" ht="15" customHeight="1">
      <c r="A64" t="inlineStr">
        <is>
          <t>A 45310-2024</t>
        </is>
      </c>
      <c r="B64" t="inlineStr">
        <is>
          <t>avverkningsanmälan</t>
        </is>
      </c>
      <c r="C64" t="inlineStr">
        <is>
          <t>Föryngringsavverkning</t>
        </is>
      </c>
      <c r="D64" s="1" t="n">
        <v>45576</v>
      </c>
      <c r="E64" s="1" t="n">
        <v>46284</v>
      </c>
      <c r="F64" t="inlineStr">
        <is>
          <t>NORRBOTTENS LÄN</t>
        </is>
      </c>
      <c r="G64" t="inlineStr">
        <is>
          <t>ÄLVSBYN</t>
        </is>
      </c>
      <c r="I64" t="n">
        <v>8.199999999999999</v>
      </c>
      <c r="J64" t="n">
        <v>0</v>
      </c>
      <c r="K64" t="n">
        <v>1</v>
      </c>
      <c r="L64" t="n">
        <v>1</v>
      </c>
      <c r="M64" t="n">
        <v>0</v>
      </c>
      <c r="N64" t="n">
        <v>0</v>
      </c>
      <c r="O64" t="n">
        <v>0</v>
      </c>
      <c r="P64" t="n">
        <v>0</v>
      </c>
      <c r="Q64" t="n">
        <v>1</v>
      </c>
      <c r="R64" t="n">
        <v>0</v>
      </c>
      <c r="S64" t="n">
        <v>2</v>
      </c>
      <c r="T64" t="n">
        <v>7</v>
      </c>
      <c r="U64" t="n">
        <v>7</v>
      </c>
      <c r="V64" s="2" t="inlineStr">
        <is>
          <t>Lunglav
Stuplav</t>
        </is>
      </c>
      <c r="W64">
        <f>HYPERLINK("https://klasma.github.io/Logging_2560/artfynd/A 45310-2024 artfynd.xlsx", "A 45310-2024")</f>
        <v/>
      </c>
      <c r="X64">
        <f>HYPERLINK("https://klasma.github.io/Logging_2560/kartor/A 45310-2024 karta.png", "A 45310-2024")</f>
        <v/>
      </c>
      <c r="Y64">
        <f>HYPERLINK("https://klasma.github.io/Logging_2560/kartor_geotiff/A 45310-2024 georefererad karta.tif", "A 45310-2024")</f>
        <v/>
      </c>
      <c r="AA64">
        <f>HYPERLINK("https://klasma.github.io/Logging_2560/klagomål/A 45310-2024 FSC-klagomål.docx", "A 45310-2024")</f>
        <v/>
      </c>
      <c r="AB64">
        <f>HYPERLINK("https://klasma.github.io/Logging_2560/klagomålsmail/A 45310-2024 FSC-klagomål mail.docx", "A 45310-2024")</f>
        <v/>
      </c>
      <c r="AC64">
        <f>HYPERLINK("https://klasma.github.io/Logging_2560/tillsyn/A 45310-2024 tillsynsbegäran.docx", "A 45310-2024")</f>
        <v/>
      </c>
      <c r="AD64">
        <f>HYPERLINK("https://klasma.github.io/Logging_2560/tillsynsmail/A 45310-2024 tillsynsbegäran mail.docx", "A 45310-2024")</f>
        <v/>
      </c>
    </row>
    <row r="65" ht="15" customHeight="1">
      <c r="A65" t="inlineStr">
        <is>
          <t>S 1233-2023</t>
        </is>
      </c>
      <c r="B65" t="inlineStr">
        <is>
          <t>samrådsanmälan</t>
        </is>
      </c>
      <c r="C65" t="inlineStr">
        <is>
          <t>Skogsgödsling</t>
        </is>
      </c>
      <c r="D65" s="1" t="n">
        <v>45028</v>
      </c>
      <c r="E65" s="1" t="n">
        <v>46284</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46284</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46284</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45397-2025</t>
        </is>
      </c>
      <c r="B68" t="inlineStr">
        <is>
          <t>avverkningsanmälan</t>
        </is>
      </c>
      <c r="C68" t="inlineStr">
        <is>
          <t>Föryngringsavverkning</t>
        </is>
      </c>
      <c r="D68" s="1" t="n">
        <v>45922</v>
      </c>
      <c r="E68" s="1" t="n">
        <v>46284</v>
      </c>
      <c r="F68" t="inlineStr">
        <is>
          <t>NORRBOTTENS LÄN</t>
        </is>
      </c>
      <c r="G68" t="inlineStr">
        <is>
          <t>ÄLVSBYN</t>
        </is>
      </c>
      <c r="H68" t="inlineStr">
        <is>
          <t>Sveaskog</t>
        </is>
      </c>
      <c r="I68" t="n">
        <v>4.1</v>
      </c>
      <c r="J68" t="n">
        <v>0</v>
      </c>
      <c r="K68" t="n">
        <v>0</v>
      </c>
      <c r="L68" t="n">
        <v>1</v>
      </c>
      <c r="M68" t="n">
        <v>0</v>
      </c>
      <c r="N68" t="n">
        <v>0</v>
      </c>
      <c r="O68" t="n">
        <v>0</v>
      </c>
      <c r="P68" t="n">
        <v>0</v>
      </c>
      <c r="Q68" t="n">
        <v>1</v>
      </c>
      <c r="R68" t="n">
        <v>0</v>
      </c>
      <c r="S68" t="n">
        <v>1</v>
      </c>
      <c r="T68" t="n">
        <v>1</v>
      </c>
      <c r="U68" t="n">
        <v>1</v>
      </c>
      <c r="V68" s="2" t="inlineStr">
        <is>
          <t>Vedflamlav</t>
        </is>
      </c>
      <c r="W68">
        <f>HYPERLINK("https://klasma.github.io/Logging_2560/artfynd/A 45397-2025 artfynd.xlsx", "A 45397-2025")</f>
        <v/>
      </c>
      <c r="X68">
        <f>HYPERLINK("https://klasma.github.io/Logging_2560/kartor/A 45397-2025 karta.png", "A 45397-2025")</f>
        <v/>
      </c>
      <c r="Y68">
        <f>HYPERLINK("https://klasma.github.io/Logging_2560/kartor_geotiff/A 45397-2025 georefererad karta.tif", "A 45397-2025")</f>
        <v/>
      </c>
      <c r="AA68">
        <f>HYPERLINK("https://klasma.github.io/Logging_2560/klagomål/A 45397-2025 FSC-klagomål.docx", "A 45397-2025")</f>
        <v/>
      </c>
      <c r="AB68">
        <f>HYPERLINK("https://klasma.github.io/Logging_2560/klagomålsmail/A 45397-2025 FSC-klagomål mail.docx", "A 45397-2025")</f>
        <v/>
      </c>
      <c r="AC68">
        <f>HYPERLINK("https://klasma.github.io/Logging_2560/tillsyn/A 45397-2025 tillsynsbegäran.docx", "A 45397-2025")</f>
        <v/>
      </c>
      <c r="AD68">
        <f>HYPERLINK("https://klasma.github.io/Logging_2560/tillsynsmail/A 45397-2025 tillsynsbegäran mail.docx", "A 45397-2025")</f>
        <v/>
      </c>
    </row>
    <row r="69" ht="15" customHeight="1">
      <c r="A69" t="inlineStr">
        <is>
          <t>A 45384-2025</t>
        </is>
      </c>
      <c r="B69" t="inlineStr">
        <is>
          <t>avverkningsanmälan</t>
        </is>
      </c>
      <c r="C69" t="inlineStr">
        <is>
          <t>Föryngringsavverkning</t>
        </is>
      </c>
      <c r="D69" s="1" t="n">
        <v>45922</v>
      </c>
      <c r="E69" s="1" t="n">
        <v>46284</v>
      </c>
      <c r="F69" t="inlineStr">
        <is>
          <t>NORRBOTTENS LÄN</t>
        </is>
      </c>
      <c r="G69" t="inlineStr">
        <is>
          <t>ÄLVSBYN</t>
        </is>
      </c>
      <c r="I69" t="n">
        <v>10.3</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HYPERLINK("https://klasma.github.io/Logging_2560/artfynd/A 45384-2025 artfynd.xlsx", "A 45384-2025")</f>
        <v/>
      </c>
      <c r="X69">
        <f>HYPERLINK("https://klasma.github.io/Logging_2560/kartor/A 45384-2025 karta.png", "A 45384-2025")</f>
        <v/>
      </c>
      <c r="Y69">
        <f>HYPERLINK("https://klasma.github.io/Logging_2560/kartor_geotiff/A 45384-2025 georefererad karta.tif", "A 45384-2025")</f>
        <v/>
      </c>
      <c r="AA69">
        <f>HYPERLINK("https://klasma.github.io/Logging_2560/klagomål/A 45384-2025 FSC-klagomål.docx", "A 45384-2025")</f>
        <v/>
      </c>
      <c r="AB69">
        <f>HYPERLINK("https://klasma.github.io/Logging_2560/klagomålsmail/A 45384-2025 FSC-klagomål mail.docx", "A 45384-2025")</f>
        <v/>
      </c>
      <c r="AC69">
        <f>HYPERLINK("https://klasma.github.io/Logging_2560/tillsyn/A 45384-2025 tillsynsbegäran.docx", "A 45384-2025")</f>
        <v/>
      </c>
      <c r="AD69">
        <f>HYPERLINK("https://klasma.github.io/Logging_2560/tillsynsmail/A 45384-2025 tillsynsbegäran mail.docx", "A 45384-2025")</f>
        <v/>
      </c>
    </row>
    <row r="70" ht="15" customHeight="1">
      <c r="A70" t="inlineStr">
        <is>
          <t>A 55788-2024</t>
        </is>
      </c>
      <c r="B70" t="inlineStr">
        <is>
          <t>avverkningsanmälan</t>
        </is>
      </c>
      <c r="C70" t="inlineStr">
        <is>
          <t>Föryngringsavverkning</t>
        </is>
      </c>
      <c r="D70" s="1" t="n">
        <v>45623</v>
      </c>
      <c r="E70" s="1" t="n">
        <v>46284</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HYPERLINK("https://klasma.github.io/Logging_2560/artfynd/A 55788-2024 artfynd.xlsx", "A 55788-2024")</f>
        <v/>
      </c>
      <c r="X70">
        <f>HYPERLINK("https://klasma.github.io/Logging_2560/kartor/A 55788-2024 karta.png", "A 55788-2024")</f>
        <v/>
      </c>
      <c r="Y70">
        <f>HYPERLINK("https://klasma.github.io/Logging_2560/kartor_geotiff/A 55788-2024 georefererad karta.tif", "A 55788-2024")</f>
        <v/>
      </c>
      <c r="AA70">
        <f>HYPERLINK("https://klasma.github.io/Logging_2560/klagomål/A 55788-2024 FSC-klagomål.docx", "A 55788-2024")</f>
        <v/>
      </c>
      <c r="AB70">
        <f>HYPERLINK("https://klasma.github.io/Logging_2560/klagomålsmail/A 55788-2024 FSC-klagomål mail.docx", "A 55788-2024")</f>
        <v/>
      </c>
      <c r="AC70">
        <f>HYPERLINK("https://klasma.github.io/Logging_2560/tillsyn/A 55788-2024 tillsynsbegäran.docx", "A 55788-2024")</f>
        <v/>
      </c>
      <c r="AD70">
        <f>HYPERLINK("https://klasma.github.io/Logging_2560/tillsynsmail/A 55788-2024 tillsynsbegäran mail.docx", "A 55788-2024")</f>
        <v/>
      </c>
    </row>
    <row r="71" ht="15" customHeight="1">
      <c r="A71" t="inlineStr">
        <is>
          <t>A 21302-2026</t>
        </is>
      </c>
      <c r="B71" t="inlineStr">
        <is>
          <t>avverkningsanmälan</t>
        </is>
      </c>
      <c r="C71" t="inlineStr">
        <is>
          <t>Föryngringsavverkning</t>
        </is>
      </c>
      <c r="D71" s="1" t="n">
        <v>46147</v>
      </c>
      <c r="E71" s="1" t="n">
        <v>46284</v>
      </c>
      <c r="F71" t="inlineStr">
        <is>
          <t>NORRBOTTENS LÄN</t>
        </is>
      </c>
      <c r="G71" t="inlineStr">
        <is>
          <t>ÄLVSBYN</t>
        </is>
      </c>
      <c r="H71" t="inlineStr">
        <is>
          <t>Sveaskog</t>
        </is>
      </c>
      <c r="I71" t="n">
        <v>14.3</v>
      </c>
      <c r="J71" t="n">
        <v>0</v>
      </c>
      <c r="K71" t="n">
        <v>0</v>
      </c>
      <c r="L71" t="n">
        <v>1</v>
      </c>
      <c r="M71" t="n">
        <v>0</v>
      </c>
      <c r="N71" t="n">
        <v>0</v>
      </c>
      <c r="O71" t="n">
        <v>0</v>
      </c>
      <c r="P71" t="n">
        <v>0</v>
      </c>
      <c r="Q71" t="n">
        <v>1</v>
      </c>
      <c r="R71" t="n">
        <v>0</v>
      </c>
      <c r="S71" t="n">
        <v>1</v>
      </c>
      <c r="T71" t="n">
        <v>2</v>
      </c>
      <c r="U71" t="n">
        <v>2</v>
      </c>
      <c r="V71" s="2" t="inlineStr">
        <is>
          <t>Lunglav</t>
        </is>
      </c>
      <c r="W71">
        <f>HYPERLINK("https://klasma.github.io/Logging_2560/artfynd/A 21302-2026 artfynd.xlsx", "A 21302-2026")</f>
        <v/>
      </c>
      <c r="X71">
        <f>HYPERLINK("https://klasma.github.io/Logging_2560/kartor/A 21302-2026 karta.png", "A 21302-2026")</f>
        <v/>
      </c>
      <c r="Y71">
        <f>HYPERLINK("https://klasma.github.io/Logging_2560/kartor_geotiff/A 21302-2026 georefererad karta.tif", "A 21302-2026")</f>
        <v/>
      </c>
      <c r="AA71">
        <f>HYPERLINK("https://klasma.github.io/Logging_2560/klagomål/A 21302-2026 FSC-klagomål.docx", "A 21302-2026")</f>
        <v/>
      </c>
      <c r="AB71">
        <f>HYPERLINK("https://klasma.github.io/Logging_2560/klagomålsmail/A 21302-2026 FSC-klagomål mail.docx", "A 21302-2026")</f>
        <v/>
      </c>
      <c r="AC71">
        <f>HYPERLINK("https://klasma.github.io/Logging_2560/tillsyn/A 21302-2026 tillsynsbegäran.docx", "A 21302-2026")</f>
        <v/>
      </c>
      <c r="AD71">
        <f>HYPERLINK("https://klasma.github.io/Logging_2560/tillsynsmail/A 21302-2026 tillsynsbegäran mail.docx", "A 21302-2026")</f>
        <v/>
      </c>
    </row>
    <row r="72" ht="15" customHeight="1">
      <c r="A72" t="inlineStr">
        <is>
          <t>A 21264-2026</t>
        </is>
      </c>
      <c r="B72" t="inlineStr">
        <is>
          <t>avverkningsanmälan</t>
        </is>
      </c>
      <c r="C72" t="inlineStr">
        <is>
          <t>Föryngringsavverkning</t>
        </is>
      </c>
      <c r="D72" s="1" t="n">
        <v>46147</v>
      </c>
      <c r="E72" s="1" t="n">
        <v>46284</v>
      </c>
      <c r="F72" t="inlineStr">
        <is>
          <t>NORRBOTTENS LÄN</t>
        </is>
      </c>
      <c r="G72" t="inlineStr">
        <is>
          <t>ÄLVSBYN</t>
        </is>
      </c>
      <c r="H72" t="inlineStr">
        <is>
          <t>Sveaskog</t>
        </is>
      </c>
      <c r="I72" t="n">
        <v>10.4</v>
      </c>
      <c r="J72" t="n">
        <v>1</v>
      </c>
      <c r="K72" t="n">
        <v>1</v>
      </c>
      <c r="L72" t="n">
        <v>0</v>
      </c>
      <c r="M72" t="n">
        <v>0</v>
      </c>
      <c r="N72" t="n">
        <v>0</v>
      </c>
      <c r="O72" t="n">
        <v>0</v>
      </c>
      <c r="P72" t="n">
        <v>0</v>
      </c>
      <c r="Q72" t="n">
        <v>0</v>
      </c>
      <c r="R72" t="n">
        <v>0</v>
      </c>
      <c r="S72" t="n">
        <v>1</v>
      </c>
      <c r="T72" t="n">
        <v>1</v>
      </c>
      <c r="U72" t="n">
        <v>0</v>
      </c>
      <c r="V72" s="2" t="inlineStr">
        <is>
          <t>Korallrot</t>
        </is>
      </c>
      <c r="W72">
        <f>HYPERLINK("https://klasma.github.io/Logging_2560/artfynd/A 21264-2026 artfynd.xlsx", "A 21264-2026")</f>
        <v/>
      </c>
      <c r="X72">
        <f>HYPERLINK("https://klasma.github.io/Logging_2560/kartor/A 21264-2026 karta.png", "A 21264-2026")</f>
        <v/>
      </c>
      <c r="Y72">
        <f>HYPERLINK("https://klasma.github.io/Logging_2560/kartor_geotiff/A 21264-2026 georefererad karta.tif", "A 21264-2026")</f>
        <v/>
      </c>
      <c r="AA72">
        <f>HYPERLINK("https://klasma.github.io/Logging_2560/klagomål/A 21264-2026 FSC-klagomål.docx", "A 21264-2026")</f>
        <v/>
      </c>
      <c r="AB72">
        <f>HYPERLINK("https://klasma.github.io/Logging_2560/klagomålsmail/A 21264-2026 FSC-klagomål mail.docx", "A 21264-2026")</f>
        <v/>
      </c>
      <c r="AC72">
        <f>HYPERLINK("https://klasma.github.io/Logging_2560/tillsyn/A 21264-2026 tillsynsbegäran.docx", "A 21264-2026")</f>
        <v/>
      </c>
      <c r="AD72">
        <f>HYPERLINK("https://klasma.github.io/Logging_2560/tillsynsmail/A 21264-2026 tillsynsbegäran mail.docx", "A 21264-2026")</f>
        <v/>
      </c>
    </row>
    <row r="73" ht="15" customHeight="1">
      <c r="A73" t="inlineStr">
        <is>
          <t>A 49395-2025</t>
        </is>
      </c>
      <c r="B73" t="inlineStr">
        <is>
          <t>avverkningsanmälan</t>
        </is>
      </c>
      <c r="C73" t="inlineStr">
        <is>
          <t>Avverkning för annat ändamål</t>
        </is>
      </c>
      <c r="D73" s="1" t="n">
        <v>45938</v>
      </c>
      <c r="E73" s="1" t="n">
        <v>46284</v>
      </c>
      <c r="F73" t="inlineStr">
        <is>
          <t>NORRBOTTENS LÄN</t>
        </is>
      </c>
      <c r="G73" t="inlineStr">
        <is>
          <t>ÄLVSBYN</t>
        </is>
      </c>
      <c r="I73" t="n">
        <v>2.6</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49395-2025 artfynd.xlsx", "A 49395-2025")</f>
        <v/>
      </c>
      <c r="X73">
        <f>HYPERLINK("https://klasma.github.io/Logging_2560/kartor/A 49395-2025 karta.png", "A 49395-2025")</f>
        <v/>
      </c>
      <c r="Y73">
        <f>HYPERLINK("https://klasma.github.io/Logging_2560/kartor_geotiff/A 49395-2025 georefererad karta.tif", "A 49395-2025")</f>
        <v/>
      </c>
      <c r="AA73">
        <f>HYPERLINK("https://klasma.github.io/Logging_2560/klagomål/A 49395-2025 FSC-klagomål.docx", "A 49395-2025")</f>
        <v/>
      </c>
      <c r="AB73">
        <f>HYPERLINK("https://klasma.github.io/Logging_2560/klagomålsmail/A 49395-2025 FSC-klagomål mail.docx", "A 49395-2025")</f>
        <v/>
      </c>
      <c r="AC73">
        <f>HYPERLINK("https://klasma.github.io/Logging_2560/tillsyn/A 49395-2025 tillsynsbegäran.docx", "A 49395-2025")</f>
        <v/>
      </c>
      <c r="AD73">
        <f>HYPERLINK("https://klasma.github.io/Logging_2560/tillsynsmail/A 49395-2025 tillsynsbegäran mail.docx", "A 49395-2025")</f>
        <v/>
      </c>
    </row>
    <row r="74" ht="15" customHeight="1">
      <c r="A74" t="inlineStr">
        <is>
          <t>A 50429-2025</t>
        </is>
      </c>
      <c r="B74" t="inlineStr">
        <is>
          <t>avverkningsanmälan</t>
        </is>
      </c>
      <c r="C74" t="inlineStr">
        <is>
          <t>Föryngringsavverkning</t>
        </is>
      </c>
      <c r="D74" s="1" t="n">
        <v>45944</v>
      </c>
      <c r="E74" s="1" t="n">
        <v>46284</v>
      </c>
      <c r="F74" t="inlineStr">
        <is>
          <t>NORRBOTTENS LÄN</t>
        </is>
      </c>
      <c r="G74" t="inlineStr">
        <is>
          <t>ÄLVSBYN</t>
        </is>
      </c>
      <c r="H74" t="inlineStr">
        <is>
          <t>Sveaskog</t>
        </is>
      </c>
      <c r="I74" t="n">
        <v>1.8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HYPERLINK("https://klasma.github.io/Logging_2560/artfynd/A 50429-2025 artfynd.xlsx", "A 50429-2025")</f>
        <v/>
      </c>
      <c r="X74">
        <f>HYPERLINK("https://klasma.github.io/Logging_2560/kartor/A 50429-2025 karta.png", "A 50429-2025")</f>
        <v/>
      </c>
      <c r="Y74">
        <f>HYPERLINK("https://klasma.github.io/Logging_2560/kartor_geotiff/A 50429-2025 georefererad karta.tif", "A 50429-2025")</f>
        <v/>
      </c>
      <c r="AA74">
        <f>HYPERLINK("https://klasma.github.io/Logging_2560/klagomål/A 50429-2025 FSC-klagomål.docx", "A 50429-2025")</f>
        <v/>
      </c>
      <c r="AB74">
        <f>HYPERLINK("https://klasma.github.io/Logging_2560/klagomålsmail/A 50429-2025 FSC-klagomål mail.docx", "A 50429-2025")</f>
        <v/>
      </c>
      <c r="AC74">
        <f>HYPERLINK("https://klasma.github.io/Logging_2560/tillsyn/A 50429-2025 tillsynsbegäran.docx", "A 50429-2025")</f>
        <v/>
      </c>
      <c r="AD74">
        <f>HYPERLINK("https://klasma.github.io/Logging_2560/tillsynsmail/A 50429-2025 tillsynsbegäran mail.docx", "A 50429-2025")</f>
        <v/>
      </c>
    </row>
    <row r="75" ht="15" customHeight="1">
      <c r="A75" t="inlineStr">
        <is>
          <t>A 21883-2026</t>
        </is>
      </c>
      <c r="B75" t="inlineStr">
        <is>
          <t>avverkningsanmälan</t>
        </is>
      </c>
      <c r="C75" t="inlineStr">
        <is>
          <t>Föryngringsavverkning</t>
        </is>
      </c>
      <c r="D75" s="1" t="n">
        <v>46150</v>
      </c>
      <c r="E75" s="1" t="n">
        <v>46284</v>
      </c>
      <c r="F75" t="inlineStr">
        <is>
          <t>NORRBOTTENS LÄN</t>
        </is>
      </c>
      <c r="G75" t="inlineStr">
        <is>
          <t>ÄLVSBYN</t>
        </is>
      </c>
      <c r="H75" t="inlineStr">
        <is>
          <t>Sveaskog</t>
        </is>
      </c>
      <c r="I75" t="n">
        <v>2.7</v>
      </c>
      <c r="J75" t="n">
        <v>0</v>
      </c>
      <c r="K75" t="n">
        <v>1</v>
      </c>
      <c r="L75" t="n">
        <v>0</v>
      </c>
      <c r="M75" t="n">
        <v>0</v>
      </c>
      <c r="N75" t="n">
        <v>0</v>
      </c>
      <c r="O75" t="n">
        <v>0</v>
      </c>
      <c r="P75" t="n">
        <v>0</v>
      </c>
      <c r="Q75" t="n">
        <v>0</v>
      </c>
      <c r="R75" t="n">
        <v>0</v>
      </c>
      <c r="S75" t="n">
        <v>1</v>
      </c>
      <c r="T75" t="n">
        <v>1</v>
      </c>
      <c r="U75" t="n">
        <v>1</v>
      </c>
      <c r="V75" s="2" t="inlineStr">
        <is>
          <t>Tibast</t>
        </is>
      </c>
      <c r="W75">
        <f>HYPERLINK("https://klasma.github.io/Logging_2560/artfynd/A 21883-2026 artfynd.xlsx", "A 21883-2026")</f>
        <v/>
      </c>
      <c r="X75">
        <f>HYPERLINK("https://klasma.github.io/Logging_2560/kartor/A 21883-2026 karta.png", "A 21883-2026")</f>
        <v/>
      </c>
      <c r="Y75">
        <f>HYPERLINK("https://klasma.github.io/Logging_2560/kartor_geotiff/A 21883-2026 georefererad karta.tif", "A 21883-2026")</f>
        <v/>
      </c>
      <c r="AA75">
        <f>HYPERLINK("https://klasma.github.io/Logging_2560/klagomål/A 21883-2026 FSC-klagomål.docx", "A 21883-2026")</f>
        <v/>
      </c>
      <c r="AB75">
        <f>HYPERLINK("https://klasma.github.io/Logging_2560/klagomålsmail/A 21883-2026 FSC-klagomål mail.docx", "A 21883-2026")</f>
        <v/>
      </c>
      <c r="AC75">
        <f>HYPERLINK("https://klasma.github.io/Logging_2560/tillsyn/A 21883-2026 tillsynsbegäran.docx", "A 21883-2026")</f>
        <v/>
      </c>
      <c r="AD75">
        <f>HYPERLINK("https://klasma.github.io/Logging_2560/tillsynsmail/A 21883-2026 tillsynsbegäran mail.docx", "A 21883-2026")</f>
        <v/>
      </c>
    </row>
    <row r="76" ht="15" customHeight="1">
      <c r="A76" t="inlineStr">
        <is>
          <t>A 52159-2025</t>
        </is>
      </c>
      <c r="B76" t="inlineStr">
        <is>
          <t>avverkningsanmälan</t>
        </is>
      </c>
      <c r="C76" t="inlineStr">
        <is>
          <t>Föryngringsavverkning</t>
        </is>
      </c>
      <c r="D76" s="1" t="n">
        <v>45953</v>
      </c>
      <c r="E76" s="1" t="n">
        <v>46284</v>
      </c>
      <c r="F76" t="inlineStr">
        <is>
          <t>NORRBOTTENS LÄN</t>
        </is>
      </c>
      <c r="G76" t="inlineStr">
        <is>
          <t>ÄLVSBYN</t>
        </is>
      </c>
      <c r="H76" t="inlineStr">
        <is>
          <t>Sveaskog</t>
        </is>
      </c>
      <c r="I76" t="n">
        <v>39.7</v>
      </c>
      <c r="J76" t="n">
        <v>0</v>
      </c>
      <c r="K76" t="n">
        <v>0</v>
      </c>
      <c r="L76" t="n">
        <v>1</v>
      </c>
      <c r="M76" t="n">
        <v>0</v>
      </c>
      <c r="N76" t="n">
        <v>0</v>
      </c>
      <c r="O76" t="n">
        <v>0</v>
      </c>
      <c r="P76" t="n">
        <v>0</v>
      </c>
      <c r="Q76" t="n">
        <v>1</v>
      </c>
      <c r="R76" t="n">
        <v>0</v>
      </c>
      <c r="S76" t="n">
        <v>1</v>
      </c>
      <c r="T76" t="n">
        <v>2</v>
      </c>
      <c r="U76" t="n">
        <v>0</v>
      </c>
      <c r="V76" s="2" t="inlineStr">
        <is>
          <t>Lunglav</t>
        </is>
      </c>
      <c r="W76">
        <f>HYPERLINK("https://klasma.github.io/Logging_2560/artfynd/A 52159-2025 artfynd.xlsx", "A 52159-2025")</f>
        <v/>
      </c>
      <c r="X76">
        <f>HYPERLINK("https://klasma.github.io/Logging_2560/kartor/A 52159-2025 karta.png", "A 52159-2025")</f>
        <v/>
      </c>
      <c r="Y76">
        <f>HYPERLINK("https://klasma.github.io/Logging_2560/kartor_geotiff/A 52159-2025 georefererad karta.tif", "A 52159-2025")</f>
        <v/>
      </c>
      <c r="AA76">
        <f>HYPERLINK("https://klasma.github.io/Logging_2560/klagomål/A 52159-2025 FSC-klagomål.docx", "A 52159-2025")</f>
        <v/>
      </c>
      <c r="AB76">
        <f>HYPERLINK("https://klasma.github.io/Logging_2560/klagomålsmail/A 52159-2025 FSC-klagomål mail.docx", "A 52159-2025")</f>
        <v/>
      </c>
      <c r="AC76">
        <f>HYPERLINK("https://klasma.github.io/Logging_2560/tillsyn/A 52159-2025 tillsynsbegäran.docx", "A 52159-2025")</f>
        <v/>
      </c>
      <c r="AD76">
        <f>HYPERLINK("https://klasma.github.io/Logging_2560/tillsynsmail/A 52159-2025 tillsynsbegäran mail.docx", "A 52159-2025")</f>
        <v/>
      </c>
    </row>
    <row r="77" ht="15" customHeight="1">
      <c r="A77" t="inlineStr">
        <is>
          <t>A 52885-2025</t>
        </is>
      </c>
      <c r="B77" t="inlineStr">
        <is>
          <t>avverkningsanmälan</t>
        </is>
      </c>
      <c r="C77" t="inlineStr">
        <is>
          <t>Föryngringsavverkning</t>
        </is>
      </c>
      <c r="D77" s="1" t="n">
        <v>45957</v>
      </c>
      <c r="E77" s="1" t="n">
        <v>46284</v>
      </c>
      <c r="F77" t="inlineStr">
        <is>
          <t>NORRBOTTENS LÄN</t>
        </is>
      </c>
      <c r="G77" t="inlineStr">
        <is>
          <t>ÄLVSBYN</t>
        </is>
      </c>
      <c r="H77" t="inlineStr">
        <is>
          <t>Sveaskog</t>
        </is>
      </c>
      <c r="I77" t="n">
        <v>10.9</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HYPERLINK("https://klasma.github.io/Logging_2560/artfynd/A 52885-2025 artfynd.xlsx", "A 52885-2025")</f>
        <v/>
      </c>
      <c r="X77">
        <f>HYPERLINK("https://klasma.github.io/Logging_2560/kartor/A 52885-2025 karta.png", "A 52885-2025")</f>
        <v/>
      </c>
      <c r="Y77">
        <f>HYPERLINK("https://klasma.github.io/Logging_2560/kartor_geotiff/A 52885-2025 georefererad karta.tif", "A 52885-2025")</f>
        <v/>
      </c>
      <c r="AA77">
        <f>HYPERLINK("https://klasma.github.io/Logging_2560/klagomål/A 52885-2025 FSC-klagomål.docx", "A 52885-2025")</f>
        <v/>
      </c>
      <c r="AB77">
        <f>HYPERLINK("https://klasma.github.io/Logging_2560/klagomålsmail/A 52885-2025 FSC-klagomål mail.docx", "A 52885-2025")</f>
        <v/>
      </c>
      <c r="AC77">
        <f>HYPERLINK("https://klasma.github.io/Logging_2560/tillsyn/A 52885-2025 tillsynsbegäran.docx", "A 52885-2025")</f>
        <v/>
      </c>
      <c r="AD77">
        <f>HYPERLINK("https://klasma.github.io/Logging_2560/tillsynsmail/A 52885-2025 tillsynsbegäran mail.docx", "A 52885-2025")</f>
        <v/>
      </c>
    </row>
    <row r="78" ht="15" customHeight="1">
      <c r="A78" t="inlineStr">
        <is>
          <t>A 53624-2025</t>
        </is>
      </c>
      <c r="B78" t="inlineStr">
        <is>
          <t>avverkningsanmälan</t>
        </is>
      </c>
      <c r="C78" t="inlineStr">
        <is>
          <t>Avverkning för annat ändamål</t>
        </is>
      </c>
      <c r="D78" s="1" t="n">
        <v>45960</v>
      </c>
      <c r="E78" s="1" t="n">
        <v>46284</v>
      </c>
      <c r="F78" t="inlineStr">
        <is>
          <t>NORRBOTTENS LÄN</t>
        </is>
      </c>
      <c r="G78" t="inlineStr">
        <is>
          <t>ÄLVSBYN</t>
        </is>
      </c>
      <c r="H78" t="inlineStr">
        <is>
          <t>SCA</t>
        </is>
      </c>
      <c r="I78" t="n">
        <v>2.6</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HYPERLINK("https://klasma.github.io/Logging_2560/artfynd/A 53624-2025 artfynd.xlsx", "A 53624-2025")</f>
        <v/>
      </c>
      <c r="X78">
        <f>HYPERLINK("https://klasma.github.io/Logging_2560/kartor/A 53624-2025 karta.png", "A 53624-2025")</f>
        <v/>
      </c>
      <c r="Y78">
        <f>HYPERLINK("https://klasma.github.io/Logging_2560/kartor_geotiff/A 53624-2025 georefererad karta.tif", "A 53624-2025")</f>
        <v/>
      </c>
      <c r="AA78">
        <f>HYPERLINK("https://klasma.github.io/Logging_2560/klagomål/A 53624-2025 FSC-klagomål.docx", "A 53624-2025")</f>
        <v/>
      </c>
      <c r="AB78">
        <f>HYPERLINK("https://klasma.github.io/Logging_2560/klagomålsmail/A 53624-2025 FSC-klagomål mail.docx", "A 53624-2025")</f>
        <v/>
      </c>
      <c r="AC78">
        <f>HYPERLINK("https://klasma.github.io/Logging_2560/tillsyn/A 53624-2025 tillsynsbegäran.docx", "A 53624-2025")</f>
        <v/>
      </c>
      <c r="AD78">
        <f>HYPERLINK("https://klasma.github.io/Logging_2560/tillsynsmail/A 53624-2025 tillsynsbegäran mail.docx", "A 53624-2025")</f>
        <v/>
      </c>
    </row>
    <row r="79" ht="15" customHeight="1">
      <c r="A79" t="inlineStr">
        <is>
          <t>A 59320-2025</t>
        </is>
      </c>
      <c r="B79" t="inlineStr">
        <is>
          <t>avverkningsanmälan</t>
        </is>
      </c>
      <c r="C79" t="inlineStr">
        <is>
          <t>Föryngringsavverkning</t>
        </is>
      </c>
      <c r="D79" s="1" t="n">
        <v>45989</v>
      </c>
      <c r="E79" s="1" t="n">
        <v>46284</v>
      </c>
      <c r="F79" t="inlineStr">
        <is>
          <t>NORRBOTTENS LÄN</t>
        </is>
      </c>
      <c r="G79" t="inlineStr">
        <is>
          <t>ÄLVSBYN</t>
        </is>
      </c>
      <c r="H79" t="inlineStr">
        <is>
          <t>Sveaskog</t>
        </is>
      </c>
      <c r="I79" t="n">
        <v>14.7</v>
      </c>
      <c r="J79" t="n">
        <v>0</v>
      </c>
      <c r="K79" t="n">
        <v>0</v>
      </c>
      <c r="L79" t="n">
        <v>1</v>
      </c>
      <c r="M79" t="n">
        <v>0</v>
      </c>
      <c r="N79" t="n">
        <v>0</v>
      </c>
      <c r="O79" t="n">
        <v>0</v>
      </c>
      <c r="P79" t="n">
        <v>0</v>
      </c>
      <c r="Q79" t="n">
        <v>1</v>
      </c>
      <c r="R79" t="n">
        <v>0</v>
      </c>
      <c r="S79" t="n">
        <v>1</v>
      </c>
      <c r="T79" t="n">
        <v>1</v>
      </c>
      <c r="U79" t="n">
        <v>0</v>
      </c>
      <c r="V79" s="2" t="inlineStr">
        <is>
          <t>Skarp dropptaggsvamp</t>
        </is>
      </c>
      <c r="W79">
        <f>HYPERLINK("https://klasma.github.io/Logging_2560/artfynd/A 59320-2025 artfynd.xlsx", "A 59320-2025")</f>
        <v/>
      </c>
      <c r="X79">
        <f>HYPERLINK("https://klasma.github.io/Logging_2560/kartor/A 59320-2025 karta.png", "A 59320-2025")</f>
        <v/>
      </c>
      <c r="Y79">
        <f>HYPERLINK("https://klasma.github.io/Logging_2560/kartor_geotiff/A 59320-2025 georefererad karta.tif", "A 59320-2025")</f>
        <v/>
      </c>
      <c r="AA79">
        <f>HYPERLINK("https://klasma.github.io/Logging_2560/klagomål/A 59320-2025 FSC-klagomål.docx", "A 59320-2025")</f>
        <v/>
      </c>
      <c r="AB79">
        <f>HYPERLINK("https://klasma.github.io/Logging_2560/klagomålsmail/A 59320-2025 FSC-klagomål mail.docx", "A 59320-2025")</f>
        <v/>
      </c>
      <c r="AC79">
        <f>HYPERLINK("https://klasma.github.io/Logging_2560/tillsyn/A 59320-2025 tillsynsbegäran.docx", "A 59320-2025")</f>
        <v/>
      </c>
      <c r="AD79">
        <f>HYPERLINK("https://klasma.github.io/Logging_2560/tillsynsmail/A 59320-2025 tillsynsbegäran mail.docx", "A 59320-2025")</f>
        <v/>
      </c>
    </row>
    <row r="80" ht="15" customHeight="1">
      <c r="A80" t="inlineStr">
        <is>
          <t>A 60016-2025</t>
        </is>
      </c>
      <c r="B80" t="inlineStr">
        <is>
          <t>avverkningsanmälan</t>
        </is>
      </c>
      <c r="C80" t="inlineStr">
        <is>
          <t>Föryngringsavverkning</t>
        </is>
      </c>
      <c r="D80" s="1" t="n">
        <v>45993</v>
      </c>
      <c r="E80" s="1" t="n">
        <v>46284</v>
      </c>
      <c r="F80" t="inlineStr">
        <is>
          <t>NORRBOTTENS LÄN</t>
        </is>
      </c>
      <c r="G80" t="inlineStr">
        <is>
          <t>ÄLVSBYN</t>
        </is>
      </c>
      <c r="H80" t="inlineStr">
        <is>
          <t>Sveaskog</t>
        </is>
      </c>
      <c r="I80" t="n">
        <v>5.5</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HYPERLINK("https://klasma.github.io/Logging_2560/artfynd/A 60016-2025 artfynd.xlsx", "A 60016-2025")</f>
        <v/>
      </c>
      <c r="X80">
        <f>HYPERLINK("https://klasma.github.io/Logging_2560/kartor/A 60016-2025 karta.png", "A 60016-2025")</f>
        <v/>
      </c>
      <c r="Y80">
        <f>HYPERLINK("https://klasma.github.io/Logging_2560/kartor_geotiff/A 60016-2025 georefererad karta.tif", "A 60016-2025")</f>
        <v/>
      </c>
      <c r="AA80">
        <f>HYPERLINK("https://klasma.github.io/Logging_2560/klagomål/A 60016-2025 FSC-klagomål.docx", "A 60016-2025")</f>
        <v/>
      </c>
      <c r="AB80">
        <f>HYPERLINK("https://klasma.github.io/Logging_2560/klagomålsmail/A 60016-2025 FSC-klagomål mail.docx", "A 60016-2025")</f>
        <v/>
      </c>
      <c r="AC80">
        <f>HYPERLINK("https://klasma.github.io/Logging_2560/tillsyn/A 60016-2025 tillsynsbegäran.docx", "A 60016-2025")</f>
        <v/>
      </c>
      <c r="AD80">
        <f>HYPERLINK("https://klasma.github.io/Logging_2560/tillsynsmail/A 60016-2025 tillsynsbegäran mail.docx", "A 60016-2025")</f>
        <v/>
      </c>
    </row>
    <row r="81" ht="15" customHeight="1">
      <c r="A81" t="inlineStr">
        <is>
          <t>A 23740-2026</t>
        </is>
      </c>
      <c r="B81" t="inlineStr">
        <is>
          <t>avverkningsanmälan</t>
        </is>
      </c>
      <c r="C81" t="inlineStr">
        <is>
          <t>Föryngringsavverkning</t>
        </is>
      </c>
      <c r="D81" s="1" t="n">
        <v>46164</v>
      </c>
      <c r="E81" s="1" t="n">
        <v>46284</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42680-2022</t>
        </is>
      </c>
      <c r="B82" t="inlineStr">
        <is>
          <t>avverkningsanmälan</t>
        </is>
      </c>
      <c r="C82" t="inlineStr">
        <is>
          <t>Avverkning för att bevara och utveckla /försöksver</t>
        </is>
      </c>
      <c r="D82" s="1" t="n">
        <v>44832</v>
      </c>
      <c r="E82" s="1" t="n">
        <v>46284</v>
      </c>
      <c r="F82" t="inlineStr">
        <is>
          <t>NORRBOTTENS LÄN</t>
        </is>
      </c>
      <c r="G82" t="inlineStr">
        <is>
          <t>ÄLVSBYN</t>
        </is>
      </c>
      <c r="H82" t="inlineStr">
        <is>
          <t>Sveaskog</t>
        </is>
      </c>
      <c r="I82" t="n">
        <v>1.7</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42680-2022 artfynd.xlsx", "A 42680-2022")</f>
        <v/>
      </c>
      <c r="X82">
        <f>HYPERLINK("https://klasma.github.io/Logging_2560/kartor/A 42680-2022 karta.png", "A 42680-2022")</f>
        <v/>
      </c>
      <c r="Y82">
        <f>HYPERLINK("https://klasma.github.io/Logging_2560/kartor_geotiff/A 42680-2022 georefererad karta.tif", "A 42680-2022")</f>
        <v/>
      </c>
      <c r="AA82">
        <f>HYPERLINK("https://klasma.github.io/Logging_2560/klagomål/A 42680-2022 FSC-klagomål.docx", "A 42680-2022")</f>
        <v/>
      </c>
      <c r="AB82">
        <f>HYPERLINK("https://klasma.github.io/Logging_2560/klagomålsmail/A 42680-2022 FSC-klagomål mail.docx", "A 42680-2022")</f>
        <v/>
      </c>
      <c r="AC82">
        <f>HYPERLINK("https://klasma.github.io/Logging_2560/tillsyn/A 42680-2022 tillsynsbegäran.docx", "A 42680-2022")</f>
        <v/>
      </c>
      <c r="AD82">
        <f>HYPERLINK("https://klasma.github.io/Logging_2560/tillsynsmail/A 42680-2022 tillsynsbegäran mail.docx", "A 42680-2022")</f>
        <v/>
      </c>
    </row>
    <row r="83" ht="15" customHeight="1">
      <c r="A83" t="inlineStr">
        <is>
          <t>A 26758-2026</t>
        </is>
      </c>
      <c r="B83" t="inlineStr">
        <is>
          <t>avverkningsanmälan</t>
        </is>
      </c>
      <c r="C83" t="inlineStr">
        <is>
          <t>Föryngringsavverkning</t>
        </is>
      </c>
      <c r="D83" s="1" t="n">
        <v>46184</v>
      </c>
      <c r="E83" s="1" t="n">
        <v>46284</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52266-2025</t>
        </is>
      </c>
      <c r="B84" t="inlineStr">
        <is>
          <t>avverkningsanmälan</t>
        </is>
      </c>
      <c r="C84" t="inlineStr">
        <is>
          <t>Föryngringsavverkning</t>
        </is>
      </c>
      <c r="D84" s="1" t="n">
        <v>45953</v>
      </c>
      <c r="E84" s="1" t="n">
        <v>46284</v>
      </c>
      <c r="F84" t="inlineStr">
        <is>
          <t>NORRBOTTENS LÄN</t>
        </is>
      </c>
      <c r="G84" t="inlineStr">
        <is>
          <t>ÄLVSBYN</t>
        </is>
      </c>
      <c r="H84" t="inlineStr">
        <is>
          <t>SCA</t>
        </is>
      </c>
      <c r="I84" t="n">
        <v>1.4</v>
      </c>
      <c r="J84" t="n">
        <v>0</v>
      </c>
      <c r="K84" t="n">
        <v>0</v>
      </c>
      <c r="L84" t="n">
        <v>1</v>
      </c>
      <c r="M84" t="n">
        <v>0</v>
      </c>
      <c r="N84" t="n">
        <v>0</v>
      </c>
      <c r="O84" t="n">
        <v>0</v>
      </c>
      <c r="P84" t="n">
        <v>0</v>
      </c>
      <c r="Q84" t="n">
        <v>1</v>
      </c>
      <c r="R84" t="n">
        <v>0</v>
      </c>
      <c r="S84" t="n">
        <v>1</v>
      </c>
      <c r="T84" t="n">
        <v>1</v>
      </c>
      <c r="U84" t="n">
        <v>0</v>
      </c>
      <c r="V84" s="2" t="inlineStr">
        <is>
          <t>Vitgrynig nållav</t>
        </is>
      </c>
      <c r="W84">
        <f>HYPERLINK("https://klasma.github.io/Logging_2560/artfynd/A 52266-2025 artfynd.xlsx", "A 52266-2025")</f>
        <v/>
      </c>
      <c r="X84">
        <f>HYPERLINK("https://klasma.github.io/Logging_2560/kartor/A 52266-2025 karta.png", "A 52266-2025")</f>
        <v/>
      </c>
      <c r="Y84">
        <f>HYPERLINK("https://klasma.github.io/Logging_2560/kartor_geotiff/A 52266-2025 georefererad karta.tif", "A 52266-2025")</f>
        <v/>
      </c>
      <c r="AA84">
        <f>HYPERLINK("https://klasma.github.io/Logging_2560/klagomål/A 52266-2025 FSC-klagomål.docx", "A 52266-2025")</f>
        <v/>
      </c>
      <c r="AB84">
        <f>HYPERLINK("https://klasma.github.io/Logging_2560/klagomålsmail/A 52266-2025 FSC-klagomål mail.docx", "A 52266-2025")</f>
        <v/>
      </c>
      <c r="AC84">
        <f>HYPERLINK("https://klasma.github.io/Logging_2560/tillsyn/A 52266-2025 tillsynsbegäran.docx", "A 52266-2025")</f>
        <v/>
      </c>
      <c r="AD84">
        <f>HYPERLINK("https://klasma.github.io/Logging_2560/tillsynsmail/A 52266-2025 tillsynsbegäran mail.docx", "A 52266-2025")</f>
        <v/>
      </c>
    </row>
    <row r="85" ht="15" customHeight="1">
      <c r="A85" t="inlineStr">
        <is>
          <t>A 28408-2026</t>
        </is>
      </c>
      <c r="B85" t="inlineStr">
        <is>
          <t>avverkningsanmälan</t>
        </is>
      </c>
      <c r="C85" t="inlineStr">
        <is>
          <t>Föryngringsavverkning</t>
        </is>
      </c>
      <c r="D85" s="1" t="n">
        <v>46197</v>
      </c>
      <c r="E85" s="1" t="n">
        <v>46284</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28598-2026</t>
        </is>
      </c>
      <c r="B86" t="inlineStr">
        <is>
          <t>avverkningsanmälan</t>
        </is>
      </c>
      <c r="C86" t="inlineStr">
        <is>
          <t>Föryngringsavverkning</t>
        </is>
      </c>
      <c r="D86" s="1" t="n">
        <v>46197</v>
      </c>
      <c r="E86" s="1" t="n">
        <v>46284</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28593-2026</t>
        </is>
      </c>
      <c r="B87" t="inlineStr">
        <is>
          <t>avverkningsanmälan</t>
        </is>
      </c>
      <c r="C87" t="inlineStr">
        <is>
          <t>Föryngringsavverkning</t>
        </is>
      </c>
      <c r="D87" s="1" t="n">
        <v>46197</v>
      </c>
      <c r="E87" s="1" t="n">
        <v>46284</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35298-2026</t>
        </is>
      </c>
      <c r="B88" t="inlineStr">
        <is>
          <t>avverkningsanmälan</t>
        </is>
      </c>
      <c r="C88" t="inlineStr">
        <is>
          <t>Föryngringsavverkning</t>
        </is>
      </c>
      <c r="D88" s="1" t="n">
        <v>46261</v>
      </c>
      <c r="E88" s="1" t="n">
        <v>46284</v>
      </c>
      <c r="F88" t="inlineStr">
        <is>
          <t>NORRBOTTENS LÄN</t>
        </is>
      </c>
      <c r="G88" t="inlineStr">
        <is>
          <t>ÄLVSBYN</t>
        </is>
      </c>
      <c r="H88" t="inlineStr">
        <is>
          <t>Sveaskog</t>
        </is>
      </c>
      <c r="I88" t="n">
        <v>3.2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35298-2026 artfynd.xlsx", "A 35298-2026")</f>
        <v/>
      </c>
      <c r="X88">
        <f>HYPERLINK("https://klasma.github.io/Logging_2560/kartor/A 35298-2026 karta.png", "A 35298-2026")</f>
        <v/>
      </c>
      <c r="Y88">
        <f>HYPERLINK("https://klasma.github.io/Logging_2560/kartor_geotiff/A 35298-2026 georefererad karta.tif", "A 35298-2026")</f>
        <v/>
      </c>
      <c r="AA88">
        <f>HYPERLINK("https://klasma.github.io/Logging_2560/klagomål/A 35298-2026 FSC-klagomål.docx", "A 35298-2026")</f>
        <v/>
      </c>
      <c r="AB88">
        <f>HYPERLINK("https://klasma.github.io/Logging_2560/klagomålsmail/A 35298-2026 FSC-klagomål mail.docx", "A 35298-2026")</f>
        <v/>
      </c>
      <c r="AC88">
        <f>HYPERLINK("https://klasma.github.io/Logging_2560/tillsyn/A 35298-2026 tillsynsbegäran.docx", "A 35298-2026")</f>
        <v/>
      </c>
      <c r="AD88">
        <f>HYPERLINK("https://klasma.github.io/Logging_2560/tillsynsmail/A 35298-2026 tillsynsbegäran mail.docx", "A 35298-2026")</f>
        <v/>
      </c>
    </row>
    <row r="89" ht="15" customHeight="1">
      <c r="A89" t="inlineStr">
        <is>
          <t>A 36058-2026</t>
        </is>
      </c>
      <c r="B89" t="inlineStr">
        <is>
          <t>avverkningsanmälan</t>
        </is>
      </c>
      <c r="C89" t="inlineStr">
        <is>
          <t>Föryngringsavverkning</t>
        </is>
      </c>
      <c r="D89" s="1" t="n">
        <v>46267</v>
      </c>
      <c r="E89" s="1" t="n">
        <v>46284</v>
      </c>
      <c r="F89" t="inlineStr">
        <is>
          <t>NORRBOTTENS LÄN</t>
        </is>
      </c>
      <c r="G89" t="inlineStr">
        <is>
          <t>ÄLVSBYN</t>
        </is>
      </c>
      <c r="H89" t="inlineStr">
        <is>
          <t>SCA</t>
        </is>
      </c>
      <c r="I89" t="n">
        <v>4.5</v>
      </c>
      <c r="J89" t="n">
        <v>0</v>
      </c>
      <c r="K89" t="n">
        <v>0</v>
      </c>
      <c r="L89" t="n">
        <v>0</v>
      </c>
      <c r="M89" t="n">
        <v>1</v>
      </c>
      <c r="N89" t="n">
        <v>0</v>
      </c>
      <c r="O89" t="n">
        <v>0</v>
      </c>
      <c r="P89" t="n">
        <v>0</v>
      </c>
      <c r="Q89" t="n">
        <v>1</v>
      </c>
      <c r="R89" t="n">
        <v>1</v>
      </c>
      <c r="S89" t="n">
        <v>1</v>
      </c>
      <c r="T89" t="n">
        <v>1</v>
      </c>
      <c r="U89" t="n">
        <v>0</v>
      </c>
      <c r="V89" s="2" t="inlineStr">
        <is>
          <t>Skrovlig taggsvamp</t>
        </is>
      </c>
      <c r="W89">
        <f>HYPERLINK("https://klasma.github.io/Logging_2560/artfynd/A 36058-2026 artfynd.xlsx", "A 36058-2026")</f>
        <v/>
      </c>
      <c r="X89">
        <f>HYPERLINK("https://klasma.github.io/Logging_2560/kartor/A 36058-2026 karta.png", "A 36058-2026")</f>
        <v/>
      </c>
      <c r="Y89">
        <f>HYPERLINK("https://klasma.github.io/Logging_2560/kartor_geotiff/A 36058-2026 georefererad karta.tif", "A 36058-2026")</f>
        <v/>
      </c>
      <c r="AA89">
        <f>HYPERLINK("https://klasma.github.io/Logging_2560/klagomål/A 36058-2026 FSC-klagomål.docx", "A 36058-2026")</f>
        <v/>
      </c>
      <c r="AB89">
        <f>HYPERLINK("https://klasma.github.io/Logging_2560/klagomålsmail/A 36058-2026 FSC-klagomål mail.docx", "A 36058-2026")</f>
        <v/>
      </c>
      <c r="AC89">
        <f>HYPERLINK("https://klasma.github.io/Logging_2560/tillsyn/A 36058-2026 tillsynsbegäran.docx", "A 36058-2026")</f>
        <v/>
      </c>
      <c r="AD89">
        <f>HYPERLINK("https://klasma.github.io/Logging_2560/tillsynsmail/A 36058-2026 tillsynsbegäran mail.docx", "A 36058-2026")</f>
        <v/>
      </c>
    </row>
    <row r="90" ht="15" customHeight="1">
      <c r="A90" t="inlineStr">
        <is>
          <t>A 23790-2025</t>
        </is>
      </c>
      <c r="B90" t="inlineStr">
        <is>
          <t>avverkningsanmälan</t>
        </is>
      </c>
      <c r="C90" t="inlineStr">
        <is>
          <t>Föryngringsavverkning</t>
        </is>
      </c>
      <c r="D90" s="1" t="n">
        <v>45793</v>
      </c>
      <c r="E90" s="1" t="n">
        <v>46284</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23790-2025 artfynd.xlsx", "A 23790-2025")</f>
        <v/>
      </c>
      <c r="X90">
        <f>HYPERLINK("https://klasma.github.io/Logging_2560/kartor/A 23790-2025 karta.png", "A 23790-2025")</f>
        <v/>
      </c>
      <c r="Y90">
        <f>HYPERLINK("https://klasma.github.io/Logging_2560/kartor_geotiff/A 23790-2025 georefererad karta.tif", "A 23790-2025")</f>
        <v/>
      </c>
      <c r="AA90">
        <f>HYPERLINK("https://klasma.github.io/Logging_2560/klagomål/A 23790-2025 FSC-klagomål.docx", "A 23790-2025")</f>
        <v/>
      </c>
      <c r="AB90">
        <f>HYPERLINK("https://klasma.github.io/Logging_2560/klagomålsmail/A 23790-2025 FSC-klagomål mail.docx", "A 23790-2025")</f>
        <v/>
      </c>
      <c r="AC90">
        <f>HYPERLINK("https://klasma.github.io/Logging_2560/tillsyn/A 23790-2025 tillsynsbegäran.docx", "A 23790-2025")</f>
        <v/>
      </c>
      <c r="AD90">
        <f>HYPERLINK("https://klasma.github.io/Logging_2560/tillsynsmail/A 23790-2025 tillsynsbegäran mail.docx", "A 23790-2025")</f>
        <v/>
      </c>
    </row>
    <row r="91" ht="15" customHeight="1">
      <c r="A91" t="inlineStr">
        <is>
          <t>A 33234-2025</t>
        </is>
      </c>
      <c r="B91" t="inlineStr">
        <is>
          <t>avverkningsanmälan</t>
        </is>
      </c>
      <c r="C91" t="inlineStr">
        <is>
          <t>Föryngringsavverkning</t>
        </is>
      </c>
      <c r="D91" s="1" t="n">
        <v>45840</v>
      </c>
      <c r="E91" s="1" t="n">
        <v>46284</v>
      </c>
      <c r="F91" t="inlineStr">
        <is>
          <t>NORRBOTTENS LÄN</t>
        </is>
      </c>
      <c r="G91" t="inlineStr">
        <is>
          <t>ÄLVSBYN</t>
        </is>
      </c>
      <c r="H91" t="inlineStr">
        <is>
          <t>Sveaskog</t>
        </is>
      </c>
      <c r="I91" t="n">
        <v>30.8</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HYPERLINK("https://klasma.github.io/Logging_2560/artfynd/A 33234-2025 artfynd.xlsx", "A 33234-2025")</f>
        <v/>
      </c>
      <c r="X91">
        <f>HYPERLINK("https://klasma.github.io/Logging_2560/kartor/A 33234-2025 karta.png", "A 33234-2025")</f>
        <v/>
      </c>
      <c r="Y91">
        <f>HYPERLINK("https://klasma.github.io/Logging_2560/kartor_geotiff/A 33234-2025 georefererad karta.tif", "A 33234-2025")</f>
        <v/>
      </c>
      <c r="AA91">
        <f>HYPERLINK("https://klasma.github.io/Logging_2560/klagomål/A 33234-2025 FSC-klagomål.docx", "A 33234-2025")</f>
        <v/>
      </c>
      <c r="AB91">
        <f>HYPERLINK("https://klasma.github.io/Logging_2560/klagomålsmail/A 33234-2025 FSC-klagomål mail.docx", "A 33234-2025")</f>
        <v/>
      </c>
      <c r="AC91">
        <f>HYPERLINK("https://klasma.github.io/Logging_2560/tillsyn/A 33234-2025 tillsynsbegäran.docx", "A 33234-2025")</f>
        <v/>
      </c>
      <c r="AD91">
        <f>HYPERLINK("https://klasma.github.io/Logging_2560/tillsynsmail/A 33234-2025 tillsynsbegäran mail.docx", "A 33234-2025")</f>
        <v/>
      </c>
      <c r="AE91">
        <f>HYPERLINK("https://klasma.github.io/Logging_2560/fåglar/A 33234-2025 prioriterade fågelarter.docx", "A 33234-2025")</f>
        <v/>
      </c>
    </row>
    <row r="92" ht="15" customHeight="1">
      <c r="A92" t="inlineStr">
        <is>
          <t>A 34544-2025</t>
        </is>
      </c>
      <c r="B92" t="inlineStr">
        <is>
          <t>avverkningsanmälan</t>
        </is>
      </c>
      <c r="C92" t="inlineStr">
        <is>
          <t>Föryngringsavverkning</t>
        </is>
      </c>
      <c r="D92" s="1" t="n">
        <v>45847</v>
      </c>
      <c r="E92" s="1" t="n">
        <v>46284</v>
      </c>
      <c r="F92" t="inlineStr">
        <is>
          <t>NORRBOTTENS LÄN</t>
        </is>
      </c>
      <c r="G92" t="inlineStr">
        <is>
          <t>ÄLVSBYN</t>
        </is>
      </c>
      <c r="H92" t="inlineStr">
        <is>
          <t>Sveaskog</t>
        </is>
      </c>
      <c r="I92" t="n">
        <v>1.2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34544-2025 artfynd.xlsx", "A 34544-2025")</f>
        <v/>
      </c>
      <c r="X92">
        <f>HYPERLINK("https://klasma.github.io/Logging_2560/kartor/A 34544-2025 karta.png", "A 34544-2025")</f>
        <v/>
      </c>
      <c r="Y92">
        <f>HYPERLINK("https://klasma.github.io/Logging_2560/kartor_geotiff/A 34544-2025 georefererad karta.tif", "A 34544-2025")</f>
        <v/>
      </c>
      <c r="AA92">
        <f>HYPERLINK("https://klasma.github.io/Logging_2560/klagomål/A 34544-2025 FSC-klagomål.docx", "A 34544-2025")</f>
        <v/>
      </c>
      <c r="AB92">
        <f>HYPERLINK("https://klasma.github.io/Logging_2560/klagomålsmail/A 34544-2025 FSC-klagomål mail.docx", "A 34544-2025")</f>
        <v/>
      </c>
      <c r="AC92">
        <f>HYPERLINK("https://klasma.github.io/Logging_2560/tillsyn/A 34544-2025 tillsynsbegäran.docx", "A 34544-2025")</f>
        <v/>
      </c>
      <c r="AD92">
        <f>HYPERLINK("https://klasma.github.io/Logging_2560/tillsynsmail/A 34544-2025 tillsynsbegäran mail.docx", "A 34544-2025")</f>
        <v/>
      </c>
    </row>
    <row r="93" ht="15" customHeight="1">
      <c r="A93" t="inlineStr">
        <is>
          <t>A 42505-2024</t>
        </is>
      </c>
      <c r="B93" t="inlineStr">
        <is>
          <t>avverkningsanmälan</t>
        </is>
      </c>
      <c r="C93" t="inlineStr">
        <is>
          <t>Föryngringsavverkning</t>
        </is>
      </c>
      <c r="D93" s="1" t="n">
        <v>45565</v>
      </c>
      <c r="E93" s="1" t="n">
        <v>46284</v>
      </c>
      <c r="F93" t="inlineStr">
        <is>
          <t>NORRBOTTENS LÄN</t>
        </is>
      </c>
      <c r="G93" t="inlineStr">
        <is>
          <t>ÄLVSBYN</t>
        </is>
      </c>
      <c r="I93" t="n">
        <v>10.5</v>
      </c>
      <c r="J93" t="n">
        <v>0</v>
      </c>
      <c r="K93" t="n">
        <v>1</v>
      </c>
      <c r="L93" t="n">
        <v>0</v>
      </c>
      <c r="M93" t="n">
        <v>0</v>
      </c>
      <c r="N93" t="n">
        <v>0</v>
      </c>
      <c r="O93" t="n">
        <v>0</v>
      </c>
      <c r="P93" t="n">
        <v>0</v>
      </c>
      <c r="Q93" t="n">
        <v>0</v>
      </c>
      <c r="R93" t="n">
        <v>0</v>
      </c>
      <c r="S93" t="n">
        <v>1</v>
      </c>
      <c r="T93" t="n">
        <v>1</v>
      </c>
      <c r="U93" t="n">
        <v>1</v>
      </c>
      <c r="V93" s="2" t="inlineStr">
        <is>
          <t>Vedticka</t>
        </is>
      </c>
      <c r="W93">
        <f>HYPERLINK("https://klasma.github.io/Logging_2560/artfynd/A 42505-2024 artfynd.xlsx", "A 42505-2024")</f>
        <v/>
      </c>
      <c r="X93">
        <f>HYPERLINK("https://klasma.github.io/Logging_2560/kartor/A 42505-2024 karta.png", "A 42505-2024")</f>
        <v/>
      </c>
      <c r="Y93">
        <f>HYPERLINK("https://klasma.github.io/Logging_2560/kartor_geotiff/A 42505-2024 georefererad karta.tif", "A 42505-2024")</f>
        <v/>
      </c>
      <c r="AA93">
        <f>HYPERLINK("https://klasma.github.io/Logging_2560/klagomål/A 42505-2024 FSC-klagomål.docx", "A 42505-2024")</f>
        <v/>
      </c>
      <c r="AB93">
        <f>HYPERLINK("https://klasma.github.io/Logging_2560/klagomålsmail/A 42505-2024 FSC-klagomål mail.docx", "A 42505-2024")</f>
        <v/>
      </c>
      <c r="AC93">
        <f>HYPERLINK("https://klasma.github.io/Logging_2560/tillsyn/A 42505-2024 tillsynsbegäran.docx", "A 42505-2024")</f>
        <v/>
      </c>
      <c r="AD93">
        <f>HYPERLINK("https://klasma.github.io/Logging_2560/tillsynsmail/A 42505-2024 tillsynsbegäran mail.docx", "A 42505-2024")</f>
        <v/>
      </c>
    </row>
    <row r="94" ht="15" customHeight="1">
      <c r="A94" t="inlineStr">
        <is>
          <t>A 57140-2024</t>
        </is>
      </c>
      <c r="B94" t="inlineStr">
        <is>
          <t>avverkningsanmälan</t>
        </is>
      </c>
      <c r="C94" t="inlineStr">
        <is>
          <t>Föryngringsavverkning</t>
        </is>
      </c>
      <c r="D94" s="1" t="n">
        <v>45629</v>
      </c>
      <c r="E94" s="1" t="n">
        <v>46284</v>
      </c>
      <c r="F94" t="inlineStr">
        <is>
          <t>NORRBOTTENS LÄN</t>
        </is>
      </c>
      <c r="G94" t="inlineStr">
        <is>
          <t>ÄLVSBYN</t>
        </is>
      </c>
      <c r="I94" t="n">
        <v>2.6</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HYPERLINK("https://klasma.github.io/Logging_2560/artfynd/A 57140-2024 artfynd.xlsx", "A 57140-2024")</f>
        <v/>
      </c>
      <c r="X94">
        <f>HYPERLINK("https://klasma.github.io/Logging_2560/kartor/A 57140-2024 karta.png", "A 57140-2024")</f>
        <v/>
      </c>
      <c r="Y94">
        <f>HYPERLINK("https://klasma.github.io/Logging_2560/kartor_geotiff/A 57140-2024 georefererad karta.tif", "A 57140-2024")</f>
        <v/>
      </c>
      <c r="AA94">
        <f>HYPERLINK("https://klasma.github.io/Logging_2560/klagomål/A 57140-2024 FSC-klagomål.docx", "A 57140-2024")</f>
        <v/>
      </c>
      <c r="AB94">
        <f>HYPERLINK("https://klasma.github.io/Logging_2560/klagomålsmail/A 57140-2024 FSC-klagomål mail.docx", "A 57140-2024")</f>
        <v/>
      </c>
      <c r="AC94">
        <f>HYPERLINK("https://klasma.github.io/Logging_2560/tillsyn/A 57140-2024 tillsynsbegäran.docx", "A 57140-2024")</f>
        <v/>
      </c>
      <c r="AD94">
        <f>HYPERLINK("https://klasma.github.io/Logging_2560/tillsynsmail/A 57140-2024 tillsynsbegäran mail.docx", "A 57140-2024")</f>
        <v/>
      </c>
    </row>
    <row r="95" ht="15" customHeight="1">
      <c r="A95" t="inlineStr">
        <is>
          <t>A 26406-2022</t>
        </is>
      </c>
      <c r="B95" t="inlineStr">
        <is>
          <t>avverkningsanmälan</t>
        </is>
      </c>
      <c r="C95" t="inlineStr">
        <is>
          <t>Föryngringsavverkning</t>
        </is>
      </c>
      <c r="D95" s="1" t="n">
        <v>44735</v>
      </c>
      <c r="E95" s="1" t="n">
        <v>46284</v>
      </c>
      <c r="F95" t="inlineStr">
        <is>
          <t>NORRBOTTENS LÄN</t>
        </is>
      </c>
      <c r="G95" t="inlineStr">
        <is>
          <t>ÄLVSBYN</t>
        </is>
      </c>
      <c r="H95" t="inlineStr">
        <is>
          <t>SCA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51063-2022</t>
        </is>
      </c>
      <c r="B96" t="inlineStr">
        <is>
          <t>avverkningsanmälan</t>
        </is>
      </c>
      <c r="C96" t="inlineStr">
        <is>
          <t>Avverkning för annat ändamål</t>
        </is>
      </c>
      <c r="D96" s="1" t="n">
        <v>44868</v>
      </c>
      <c r="E96" s="1" t="n">
        <v>46284</v>
      </c>
      <c r="F96" t="inlineStr">
        <is>
          <t>NORRBOTTENS LÄN</t>
        </is>
      </c>
      <c r="G96" t="inlineStr">
        <is>
          <t>ÄLVSBYN</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73648-2021</t>
        </is>
      </c>
      <c r="B97" t="inlineStr">
        <is>
          <t>avverkningsanmälan</t>
        </is>
      </c>
      <c r="C97" t="inlineStr">
        <is>
          <t>Föryngringsavverkning</t>
        </is>
      </c>
      <c r="D97" s="1" t="n">
        <v>44552</v>
      </c>
      <c r="E97" s="1" t="n">
        <v>46284</v>
      </c>
      <c r="F97" t="inlineStr">
        <is>
          <t>NORRBOTTENS LÄN</t>
        </is>
      </c>
      <c r="G97" t="inlineStr">
        <is>
          <t>ÄLVSBYN</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59483-2021</t>
        </is>
      </c>
      <c r="B98" t="inlineStr">
        <is>
          <t>avverkningsanmälan</t>
        </is>
      </c>
      <c r="C98" t="inlineStr">
        <is>
          <t>Föryngringsavverkning</t>
        </is>
      </c>
      <c r="D98" s="1" t="n">
        <v>44491</v>
      </c>
      <c r="E98" s="1" t="n">
        <v>46284</v>
      </c>
      <c r="F98" t="inlineStr">
        <is>
          <t>NORRBOTTENS LÄN</t>
        </is>
      </c>
      <c r="G98" t="inlineStr">
        <is>
          <t>ÄLVSBYN</t>
        </is>
      </c>
      <c r="H98" t="inlineStr">
        <is>
          <t>Sveaskog</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59487-2021</t>
        </is>
      </c>
      <c r="B99" t="inlineStr">
        <is>
          <t>avverkningsanmälan</t>
        </is>
      </c>
      <c r="C99" t="inlineStr">
        <is>
          <t>Föryngringsavverkning</t>
        </is>
      </c>
      <c r="D99" s="1" t="n">
        <v>44491</v>
      </c>
      <c r="E99" s="1" t="n">
        <v>46284</v>
      </c>
      <c r="F99" t="inlineStr">
        <is>
          <t>NORRBOTTENS LÄN</t>
        </is>
      </c>
      <c r="G99" t="inlineStr">
        <is>
          <t>ÄLVSBYN</t>
        </is>
      </c>
      <c r="H99" t="inlineStr">
        <is>
          <t>Sveaskog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50917-2021</t>
        </is>
      </c>
      <c r="B100" t="inlineStr">
        <is>
          <t>avverkningsanmälan</t>
        </is>
      </c>
      <c r="C100" t="inlineStr">
        <is>
          <t>Föryngringsavverkning</t>
        </is>
      </c>
      <c r="D100" s="1" t="n">
        <v>44460</v>
      </c>
      <c r="E100" s="1" t="n">
        <v>46284</v>
      </c>
      <c r="F100" t="inlineStr">
        <is>
          <t>NORRBOTTENS LÄN</t>
        </is>
      </c>
      <c r="G100" t="inlineStr">
        <is>
          <t>ÄLVSBYN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46284</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46284</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46284</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46284</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46284</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46284</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52253-2021</t>
        </is>
      </c>
      <c r="B107" t="inlineStr">
        <is>
          <t>avverkningsanmälan</t>
        </is>
      </c>
      <c r="C107" t="inlineStr">
        <is>
          <t>Föryngringsavverkning</t>
        </is>
      </c>
      <c r="D107" s="1" t="n">
        <v>44463</v>
      </c>
      <c r="E107" s="1" t="n">
        <v>46284</v>
      </c>
      <c r="F107" t="inlineStr">
        <is>
          <t>NORRBOTTENS LÄN</t>
        </is>
      </c>
      <c r="G107" t="inlineStr">
        <is>
          <t>ÄLVSBYN</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29176-2022</t>
        </is>
      </c>
      <c r="B108" t="inlineStr">
        <is>
          <t>avverkningsanmälan</t>
        </is>
      </c>
      <c r="C108" t="inlineStr">
        <is>
          <t>Avverkning för att bevara och utveckla /försöksver</t>
        </is>
      </c>
      <c r="D108" s="1" t="n">
        <v>44750</v>
      </c>
      <c r="E108" s="1" t="n">
        <v>46284</v>
      </c>
      <c r="F108" t="inlineStr">
        <is>
          <t>NORRBOTTENS LÄN</t>
        </is>
      </c>
      <c r="G108" t="inlineStr">
        <is>
          <t>ÄLVSBYN</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6820-2022</t>
        </is>
      </c>
      <c r="B109" t="inlineStr">
        <is>
          <t>avverkningsanmälan</t>
        </is>
      </c>
      <c r="C109" t="inlineStr">
        <is>
          <t>Föryngringsavverkning</t>
        </is>
      </c>
      <c r="D109" s="1" t="n">
        <v>44602</v>
      </c>
      <c r="E109" s="1" t="n">
        <v>46284</v>
      </c>
      <c r="F109" t="inlineStr">
        <is>
          <t>NORRBOTTENS LÄN</t>
        </is>
      </c>
      <c r="G109" t="inlineStr">
        <is>
          <t>ÄLVSBYN</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65410-2021</t>
        </is>
      </c>
      <c r="B110" t="inlineStr">
        <is>
          <t>avverkningsanmälan</t>
        </is>
      </c>
      <c r="C110" t="inlineStr">
        <is>
          <t>Föryngringsavverkning</t>
        </is>
      </c>
      <c r="D110" s="1" t="n">
        <v>44515</v>
      </c>
      <c r="E110" s="1" t="n">
        <v>46284</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39914-2022</t>
        </is>
      </c>
      <c r="B111" t="inlineStr">
        <is>
          <t>avverkningsanmälan</t>
        </is>
      </c>
      <c r="C111" t="inlineStr">
        <is>
          <t>Föryngringsavverkning</t>
        </is>
      </c>
      <c r="D111" s="1" t="n">
        <v>44819</v>
      </c>
      <c r="E111" s="1" t="n">
        <v>46284</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34656-2022</t>
        </is>
      </c>
      <c r="B112" t="inlineStr">
        <is>
          <t>avverkningsanmälan</t>
        </is>
      </c>
      <c r="C112" t="inlineStr">
        <is>
          <t>Avverkning för annat ändamål</t>
        </is>
      </c>
      <c r="D112" s="1" t="n">
        <v>44795</v>
      </c>
      <c r="E112" s="1" t="n">
        <v>46284</v>
      </c>
      <c r="F112" t="inlineStr">
        <is>
          <t>NORRBOTTENS LÄN</t>
        </is>
      </c>
      <c r="G112" t="inlineStr">
        <is>
          <t>ÄLVSBYN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38490-2022</t>
        </is>
      </c>
      <c r="B113" t="inlineStr">
        <is>
          <t>avverkningsanmälan</t>
        </is>
      </c>
      <c r="C113" t="inlineStr">
        <is>
          <t>Avverkning för att bevara och utveckla /försöksver</t>
        </is>
      </c>
      <c r="D113" s="1" t="n">
        <v>44813</v>
      </c>
      <c r="E113" s="1" t="n">
        <v>46284</v>
      </c>
      <c r="F113" t="inlineStr">
        <is>
          <t>NORRBOTTENS LÄN</t>
        </is>
      </c>
      <c r="G113" t="inlineStr">
        <is>
          <t>ÄLVSBYN</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55775-2021</t>
        </is>
      </c>
      <c r="B114" t="inlineStr">
        <is>
          <t>avverkningsanmälan</t>
        </is>
      </c>
      <c r="C114" t="inlineStr">
        <is>
          <t>Föryngringsavverkning</t>
        </is>
      </c>
      <c r="D114" s="1" t="n">
        <v>44476</v>
      </c>
      <c r="E114" s="1" t="n">
        <v>46284</v>
      </c>
      <c r="F114" t="inlineStr">
        <is>
          <t>NORRBOTTENS LÄN</t>
        </is>
      </c>
      <c r="G114" t="inlineStr">
        <is>
          <t>ÄLVSBYN</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17094-2022</t>
        </is>
      </c>
      <c r="B115" t="inlineStr">
        <is>
          <t>avverkningsanmälan</t>
        </is>
      </c>
      <c r="C115" t="inlineStr">
        <is>
          <t>Föryngringsavverkning</t>
        </is>
      </c>
      <c r="D115" s="1" t="n">
        <v>44677</v>
      </c>
      <c r="E115" s="1" t="n">
        <v>46284</v>
      </c>
      <c r="F115" t="inlineStr">
        <is>
          <t>NORRBOTTENS LÄN</t>
        </is>
      </c>
      <c r="G115" t="inlineStr">
        <is>
          <t>ÄLVSBYN</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25102-2023</t>
        </is>
      </c>
      <c r="B116" t="inlineStr">
        <is>
          <t>avverkningsanmälan</t>
        </is>
      </c>
      <c r="C116" t="inlineStr">
        <is>
          <t>Föryngringsavverkning</t>
        </is>
      </c>
      <c r="D116" s="1" t="n">
        <v>45078</v>
      </c>
      <c r="E116" s="1" t="n">
        <v>46284</v>
      </c>
      <c r="F116" t="inlineStr">
        <is>
          <t>NORRBOTTENS LÄN</t>
        </is>
      </c>
      <c r="G116" t="inlineStr">
        <is>
          <t>ÄLVSBYN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40282-2024</t>
        </is>
      </c>
      <c r="B117" t="inlineStr">
        <is>
          <t>avverkningsanmälan</t>
        </is>
      </c>
      <c r="C117" t="inlineStr">
        <is>
          <t>Föryngringsavverkning</t>
        </is>
      </c>
      <c r="D117" s="1" t="n">
        <v>45554</v>
      </c>
      <c r="E117" s="1" t="n">
        <v>46284</v>
      </c>
      <c r="F117" t="inlineStr">
        <is>
          <t>NORRBOTTENS LÄN</t>
        </is>
      </c>
      <c r="G117" t="inlineStr">
        <is>
          <t>ÄLVSBYN</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55552-2024</t>
        </is>
      </c>
      <c r="B118" t="inlineStr">
        <is>
          <t>avverkningsanmälan</t>
        </is>
      </c>
      <c r="C118" t="inlineStr">
        <is>
          <t>Föryngringsavverkning</t>
        </is>
      </c>
      <c r="D118" s="1" t="n">
        <v>45622</v>
      </c>
      <c r="E118" s="1" t="n">
        <v>46284</v>
      </c>
      <c r="F118" t="inlineStr">
        <is>
          <t>NORRBOTTENS LÄN</t>
        </is>
      </c>
      <c r="G118" t="inlineStr">
        <is>
          <t>ÄLVSBYN</t>
        </is>
      </c>
      <c r="H118" t="inlineStr">
        <is>
          <t>Övriga Aktiebolag</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6004-2023</t>
        </is>
      </c>
      <c r="B119" t="inlineStr">
        <is>
          <t>avverkningsanmälan</t>
        </is>
      </c>
      <c r="C119" t="inlineStr">
        <is>
          <t>Föryngringsavverkning</t>
        </is>
      </c>
      <c r="D119" s="1" t="n">
        <v>44959</v>
      </c>
      <c r="E119" s="1" t="n">
        <v>46284</v>
      </c>
      <c r="F119" t="inlineStr">
        <is>
          <t>NORRBOTTENS LÄN</t>
        </is>
      </c>
      <c r="G119" t="inlineStr">
        <is>
          <t>ÄLVSBYN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34863-2022</t>
        </is>
      </c>
      <c r="B120" t="inlineStr">
        <is>
          <t>avverkningsanmälan</t>
        </is>
      </c>
      <c r="C120" t="inlineStr">
        <is>
          <t>Föryngringsavverkning</t>
        </is>
      </c>
      <c r="D120" s="1" t="n">
        <v>44795</v>
      </c>
      <c r="E120" s="1" t="n">
        <v>46284</v>
      </c>
      <c r="F120" t="inlineStr">
        <is>
          <t>NORRBOTTENS LÄN</t>
        </is>
      </c>
      <c r="G120" t="inlineStr">
        <is>
          <t>ÄLVSBYN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25455-2022</t>
        </is>
      </c>
      <c r="B121" t="inlineStr">
        <is>
          <t>avverkningsanmälan</t>
        </is>
      </c>
      <c r="C121" t="inlineStr">
        <is>
          <t>Föryngringsavverkning</t>
        </is>
      </c>
      <c r="D121" s="1" t="n">
        <v>44732</v>
      </c>
      <c r="E121" s="1" t="n">
        <v>46284</v>
      </c>
      <c r="F121" t="inlineStr">
        <is>
          <t>NORRBOTTENS LÄN</t>
        </is>
      </c>
      <c r="G121" t="inlineStr">
        <is>
          <t>ÄLVSBYN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50924-2021</t>
        </is>
      </c>
      <c r="B122" t="inlineStr">
        <is>
          <t>avverkningsanmälan</t>
        </is>
      </c>
      <c r="C122" t="inlineStr">
        <is>
          <t>Föryngringsavverkning</t>
        </is>
      </c>
      <c r="D122" s="1" t="n">
        <v>44460</v>
      </c>
      <c r="E122" s="1" t="n">
        <v>46284</v>
      </c>
      <c r="F122" t="inlineStr">
        <is>
          <t>NORRBOTTENS LÄN</t>
        </is>
      </c>
      <c r="G122" t="inlineStr">
        <is>
          <t>ÄLVSBYN</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46784-2024</t>
        </is>
      </c>
      <c r="B123" t="inlineStr">
        <is>
          <t>avverkningsanmälan</t>
        </is>
      </c>
      <c r="C123" t="inlineStr">
        <is>
          <t>Föryngringsavverkning</t>
        </is>
      </c>
      <c r="D123" s="1" t="n">
        <v>45583</v>
      </c>
      <c r="E123" s="1" t="n">
        <v>46284</v>
      </c>
      <c r="F123" t="inlineStr">
        <is>
          <t>NORRBOTTENS LÄN</t>
        </is>
      </c>
      <c r="G123" t="inlineStr">
        <is>
          <t>ÄLVSBYN</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24760-2022</t>
        </is>
      </c>
      <c r="B124" t="inlineStr">
        <is>
          <t>avverkningsanmälan</t>
        </is>
      </c>
      <c r="C124" t="inlineStr">
        <is>
          <t>Föryngringsavverkning</t>
        </is>
      </c>
      <c r="D124" s="1" t="n">
        <v>44728</v>
      </c>
      <c r="E124" s="1" t="n">
        <v>46284</v>
      </c>
      <c r="F124" t="inlineStr">
        <is>
          <t>NORRBOTTENS LÄN</t>
        </is>
      </c>
      <c r="G124" t="inlineStr">
        <is>
          <t>ÄLVSBYN</t>
        </is>
      </c>
      <c r="I124" t="n">
        <v>14.2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48742-2022</t>
        </is>
      </c>
      <c r="B125" t="inlineStr">
        <is>
          <t>avverkningsanmälan</t>
        </is>
      </c>
      <c r="C125" t="inlineStr">
        <is>
          <t>Föryngringsavverkning</t>
        </is>
      </c>
      <c r="D125" s="1" t="n">
        <v>44855</v>
      </c>
      <c r="E125" s="1" t="n">
        <v>46284</v>
      </c>
      <c r="F125" t="inlineStr">
        <is>
          <t>NORRBOTTENS LÄN</t>
        </is>
      </c>
      <c r="G125" t="inlineStr">
        <is>
          <t>ÄLVSBYN</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15251-2023</t>
        </is>
      </c>
      <c r="B126" t="inlineStr">
        <is>
          <t>avverkningsanmälan</t>
        </is>
      </c>
      <c r="C126" t="inlineStr">
        <is>
          <t>Föryngringsavverkning</t>
        </is>
      </c>
      <c r="D126" s="1" t="n">
        <v>45016</v>
      </c>
      <c r="E126" s="1" t="n">
        <v>46284</v>
      </c>
      <c r="F126" t="inlineStr">
        <is>
          <t>NORRBOTTENS LÄN</t>
        </is>
      </c>
      <c r="G126" t="inlineStr">
        <is>
          <t>ÄLVSBYN</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39604-2024</t>
        </is>
      </c>
      <c r="B127" t="inlineStr">
        <is>
          <t>avverkningsanmälan</t>
        </is>
      </c>
      <c r="C127" t="inlineStr">
        <is>
          <t>Föryngringsavverkning</t>
        </is>
      </c>
      <c r="D127" s="1" t="n">
        <v>45552</v>
      </c>
      <c r="E127" s="1" t="n">
        <v>46284</v>
      </c>
      <c r="F127" t="inlineStr">
        <is>
          <t>NORRBOTTENS LÄN</t>
        </is>
      </c>
      <c r="G127" t="inlineStr">
        <is>
          <t>ÄLVSBYN</t>
        </is>
      </c>
      <c r="H127" t="inlineStr">
        <is>
          <t>SCA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73774-2021</t>
        </is>
      </c>
      <c r="B128" t="inlineStr">
        <is>
          <t>avverkningsanmälan</t>
        </is>
      </c>
      <c r="C128" t="inlineStr">
        <is>
          <t>Avverkning för annat ändamål</t>
        </is>
      </c>
      <c r="D128" s="1" t="n">
        <v>44552</v>
      </c>
      <c r="E128" s="1" t="n">
        <v>46284</v>
      </c>
      <c r="F128" t="inlineStr">
        <is>
          <t>NORRBOTTENS LÄN</t>
        </is>
      </c>
      <c r="G128" t="inlineStr">
        <is>
          <t>ÄLVSBYN</t>
        </is>
      </c>
      <c r="H128" t="inlineStr">
        <is>
          <t>Sveaskog</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47121-2022</t>
        </is>
      </c>
      <c r="B129" t="inlineStr">
        <is>
          <t>avverkningsanmälan</t>
        </is>
      </c>
      <c r="C129" t="inlineStr">
        <is>
          <t>Föryngringsavverkning</t>
        </is>
      </c>
      <c r="D129" s="1" t="n">
        <v>44851</v>
      </c>
      <c r="E129" s="1" t="n">
        <v>46284</v>
      </c>
      <c r="F129" t="inlineStr">
        <is>
          <t>NORRBOTTENS LÄN</t>
        </is>
      </c>
      <c r="G129" t="inlineStr">
        <is>
          <t>ÄLVSBYN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45302-2024</t>
        </is>
      </c>
      <c r="B130" t="inlineStr">
        <is>
          <t>avverkningsanmälan</t>
        </is>
      </c>
      <c r="C130" t="inlineStr">
        <is>
          <t>Föryngringsavverkning</t>
        </is>
      </c>
      <c r="D130" s="1" t="n">
        <v>45576</v>
      </c>
      <c r="E130" s="1" t="n">
        <v>46284</v>
      </c>
      <c r="F130" t="inlineStr">
        <is>
          <t>NORRBOTTENS LÄN</t>
        </is>
      </c>
      <c r="G130" t="inlineStr">
        <is>
          <t>ÄLVSBYN</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32966-2023</t>
        </is>
      </c>
      <c r="B131" t="inlineStr">
        <is>
          <t>avverkningsanmälan</t>
        </is>
      </c>
      <c r="C131" t="inlineStr">
        <is>
          <t>Föryngringsavverkning</t>
        </is>
      </c>
      <c r="D131" s="1" t="n">
        <v>45125</v>
      </c>
      <c r="E131" s="1" t="n">
        <v>46284</v>
      </c>
      <c r="F131" t="inlineStr">
        <is>
          <t>NORRBOTTENS LÄN</t>
        </is>
      </c>
      <c r="G131" t="inlineStr">
        <is>
          <t>ÄLVSBYN</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41989-2024</t>
        </is>
      </c>
      <c r="B132" t="inlineStr">
        <is>
          <t>avverkningsanmälan</t>
        </is>
      </c>
      <c r="C132" t="inlineStr">
        <is>
          <t>Föryngringsavverkning</t>
        </is>
      </c>
      <c r="D132" s="1" t="n">
        <v>45561</v>
      </c>
      <c r="E132" s="1" t="n">
        <v>46284</v>
      </c>
      <c r="F132" t="inlineStr">
        <is>
          <t>NORRBOTTENS LÄN</t>
        </is>
      </c>
      <c r="G132" t="inlineStr">
        <is>
          <t>ÄLVSBYN</t>
        </is>
      </c>
      <c r="H132" t="inlineStr">
        <is>
          <t>SCA</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51457-2023</t>
        </is>
      </c>
      <c r="B133" t="inlineStr">
        <is>
          <t>avverkningsanmälan</t>
        </is>
      </c>
      <c r="C133" t="inlineStr">
        <is>
          <t>Föryngringsavverkning</t>
        </is>
      </c>
      <c r="D133" s="1" t="n">
        <v>45220</v>
      </c>
      <c r="E133" s="1" t="n">
        <v>46284</v>
      </c>
      <c r="F133" t="inlineStr">
        <is>
          <t>NORRBOTTENS LÄN</t>
        </is>
      </c>
      <c r="G133" t="inlineStr">
        <is>
          <t>ÄLVSBYN</t>
        </is>
      </c>
      <c r="H133" t="inlineStr">
        <is>
          <t>SCA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61518-2023</t>
        </is>
      </c>
      <c r="B134" t="inlineStr">
        <is>
          <t>avverkningsanmälan</t>
        </is>
      </c>
      <c r="C134" t="inlineStr">
        <is>
          <t>Föryngringsavverkning</t>
        </is>
      </c>
      <c r="D134" s="1" t="n">
        <v>45265</v>
      </c>
      <c r="E134" s="1" t="n">
        <v>46284</v>
      </c>
      <c r="F134" t="inlineStr">
        <is>
          <t>NORRBOTTENS LÄN</t>
        </is>
      </c>
      <c r="G134" t="inlineStr">
        <is>
          <t>ÄLVSBYN</t>
        </is>
      </c>
      <c r="H134" t="inlineStr">
        <is>
          <t>Sveaskog</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64471-2023</t>
        </is>
      </c>
      <c r="B135" t="inlineStr">
        <is>
          <t>avverkningsanmälan</t>
        </is>
      </c>
      <c r="C135" t="inlineStr">
        <is>
          <t>Föryngringsavverkning</t>
        </is>
      </c>
      <c r="D135" s="1" t="n">
        <v>45280</v>
      </c>
      <c r="E135" s="1" t="n">
        <v>46284</v>
      </c>
      <c r="F135" t="inlineStr">
        <is>
          <t>NORRBOTTENS LÄN</t>
        </is>
      </c>
      <c r="G135" t="inlineStr">
        <is>
          <t>ÄLVSBYN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32195-2024</t>
        </is>
      </c>
      <c r="B136" t="inlineStr">
        <is>
          <t>avverkningsanmälan</t>
        </is>
      </c>
      <c r="C136" t="inlineStr">
        <is>
          <t>Föryngringsavverkning</t>
        </is>
      </c>
      <c r="D136" s="1" t="n">
        <v>45511</v>
      </c>
      <c r="E136" s="1" t="n">
        <v>46284</v>
      </c>
      <c r="F136" t="inlineStr">
        <is>
          <t>NORRBOTTENS LÄN</t>
        </is>
      </c>
      <c r="G136" t="inlineStr">
        <is>
          <t>ÄLVSBYN</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6825-2023</t>
        </is>
      </c>
      <c r="B137" t="inlineStr">
        <is>
          <t>avverkningsanmälan</t>
        </is>
      </c>
      <c r="C137" t="inlineStr">
        <is>
          <t>Föryngringsavverkning</t>
        </is>
      </c>
      <c r="D137" s="1" t="n">
        <v>44967</v>
      </c>
      <c r="E137" s="1" t="n">
        <v>46284</v>
      </c>
      <c r="F137" t="inlineStr">
        <is>
          <t>NORRBOTTENS LÄN</t>
        </is>
      </c>
      <c r="G137" t="inlineStr">
        <is>
          <t>ÄLVSBYN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57233-2022</t>
        </is>
      </c>
      <c r="B138" t="inlineStr">
        <is>
          <t>avverkningsanmälan</t>
        </is>
      </c>
      <c r="C138" t="inlineStr">
        <is>
          <t>Föryngringsavverkning</t>
        </is>
      </c>
      <c r="D138" s="1" t="n">
        <v>44895</v>
      </c>
      <c r="E138" s="1" t="n">
        <v>46284</v>
      </c>
      <c r="F138" t="inlineStr">
        <is>
          <t>NORRBOTTENS LÄN</t>
        </is>
      </c>
      <c r="G138" t="inlineStr">
        <is>
          <t>ÄLVSBYN</t>
        </is>
      </c>
      <c r="H138" t="inlineStr">
        <is>
          <t>Övriga Aktiebolag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31900-2024</t>
        </is>
      </c>
      <c r="B139" t="inlineStr">
        <is>
          <t>avverkningsanmälan</t>
        </is>
      </c>
      <c r="C139" t="inlineStr">
        <is>
          <t>Föryngringsavverkning</t>
        </is>
      </c>
      <c r="D139" s="1" t="n">
        <v>45510</v>
      </c>
      <c r="E139" s="1" t="n">
        <v>46284</v>
      </c>
      <c r="F139" t="inlineStr">
        <is>
          <t>NORRBOTTENS LÄN</t>
        </is>
      </c>
      <c r="G139" t="inlineStr">
        <is>
          <t>ÄLVSBYN</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8553-2025</t>
        </is>
      </c>
      <c r="B140" t="inlineStr">
        <is>
          <t>avverkningsanmälan</t>
        </is>
      </c>
      <c r="C140" t="inlineStr">
        <is>
          <t>Föryngringsavverkning</t>
        </is>
      </c>
      <c r="D140" s="1" t="n">
        <v>45709</v>
      </c>
      <c r="E140" s="1" t="n">
        <v>46284</v>
      </c>
      <c r="F140" t="inlineStr">
        <is>
          <t>NORRBOTTENS LÄN</t>
        </is>
      </c>
      <c r="G140" t="inlineStr">
        <is>
          <t>ÄLVSBYN</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59484-2025</t>
        </is>
      </c>
      <c r="B141" t="inlineStr">
        <is>
          <t>avverkningsanmälan</t>
        </is>
      </c>
      <c r="C141" t="inlineStr">
        <is>
          <t>Föryngringsavverkning</t>
        </is>
      </c>
      <c r="D141" s="1" t="n">
        <v>45989</v>
      </c>
      <c r="E141" s="1" t="n">
        <v>46284</v>
      </c>
      <c r="F141" t="inlineStr">
        <is>
          <t>NORRBOTTENS LÄN</t>
        </is>
      </c>
      <c r="G141" t="inlineStr">
        <is>
          <t>ÄLVSBYN</t>
        </is>
      </c>
      <c r="I141" t="n">
        <v>14.1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40284-2024</t>
        </is>
      </c>
      <c r="B142" t="inlineStr">
        <is>
          <t>avverkningsanmälan</t>
        </is>
      </c>
      <c r="C142" t="inlineStr">
        <is>
          <t>Föryngringsavverkning</t>
        </is>
      </c>
      <c r="D142" s="1" t="n">
        <v>45554</v>
      </c>
      <c r="E142" s="1" t="n">
        <v>46284</v>
      </c>
      <c r="F142" t="inlineStr">
        <is>
          <t>NORRBOTTENS LÄN</t>
        </is>
      </c>
      <c r="G142" t="inlineStr">
        <is>
          <t>ÄLVSBYN</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58447-2023</t>
        </is>
      </c>
      <c r="B143" t="inlineStr">
        <is>
          <t>avverkningsanmälan</t>
        </is>
      </c>
      <c r="C143" t="inlineStr">
        <is>
          <t>Föryngringsavverkning</t>
        </is>
      </c>
      <c r="D143" s="1" t="n">
        <v>45250</v>
      </c>
      <c r="E143" s="1" t="n">
        <v>46284</v>
      </c>
      <c r="F143" t="inlineStr">
        <is>
          <t>NORRBOTTENS LÄN</t>
        </is>
      </c>
      <c r="G143" t="inlineStr">
        <is>
          <t>ÄLVSBYN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50744-2021</t>
        </is>
      </c>
      <c r="B144" t="inlineStr">
        <is>
          <t>avverkningsanmälan</t>
        </is>
      </c>
      <c r="C144" t="inlineStr">
        <is>
          <t>Föryngringsavverkning</t>
        </is>
      </c>
      <c r="D144" s="1" t="n">
        <v>44460</v>
      </c>
      <c r="E144" s="1" t="n">
        <v>46284</v>
      </c>
      <c r="F144" t="inlineStr">
        <is>
          <t>NORRBOTTENS LÄN</t>
        </is>
      </c>
      <c r="G144" t="inlineStr">
        <is>
          <t>ÄLVSBYN</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64407-2023</t>
        </is>
      </c>
      <c r="B145" t="inlineStr">
        <is>
          <t>avverkningsanmälan</t>
        </is>
      </c>
      <c r="C145" t="inlineStr">
        <is>
          <t>Föryngringsavverkning</t>
        </is>
      </c>
      <c r="D145" s="1" t="n">
        <v>45280</v>
      </c>
      <c r="E145" s="1" t="n">
        <v>46284</v>
      </c>
      <c r="F145" t="inlineStr">
        <is>
          <t>NORRBOTTENS LÄN</t>
        </is>
      </c>
      <c r="G145" t="inlineStr">
        <is>
          <t>ÄLVSBYN</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38707-2025</t>
        </is>
      </c>
      <c r="B146" t="inlineStr">
        <is>
          <t>avverkningsanmälan</t>
        </is>
      </c>
      <c r="C146" t="inlineStr">
        <is>
          <t>Föryngringsavverkning</t>
        </is>
      </c>
      <c r="D146" s="1" t="n">
        <v>45885</v>
      </c>
      <c r="E146" s="1" t="n">
        <v>46284</v>
      </c>
      <c r="F146" t="inlineStr">
        <is>
          <t>NORRBOTTENS LÄN</t>
        </is>
      </c>
      <c r="G146" t="inlineStr">
        <is>
          <t>ÄLVSBYN</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20253-2024</t>
        </is>
      </c>
      <c r="B147" t="inlineStr">
        <is>
          <t>avverkningsanmälan</t>
        </is>
      </c>
      <c r="C147" t="inlineStr">
        <is>
          <t>Föryngringsavverkning</t>
        </is>
      </c>
      <c r="D147" s="1" t="n">
        <v>45434</v>
      </c>
      <c r="E147" s="1" t="n">
        <v>46284</v>
      </c>
      <c r="F147" t="inlineStr">
        <is>
          <t>NORRBOTTENS LÄN</t>
        </is>
      </c>
      <c r="G147" t="inlineStr">
        <is>
          <t>ÄLVSBYN</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40359-2025</t>
        </is>
      </c>
      <c r="B148" t="inlineStr">
        <is>
          <t>avverkningsanmälan</t>
        </is>
      </c>
      <c r="C148" t="inlineStr">
        <is>
          <t>Föryngringsavverkning</t>
        </is>
      </c>
      <c r="D148" s="1" t="n">
        <v>45895</v>
      </c>
      <c r="E148" s="1" t="n">
        <v>46284</v>
      </c>
      <c r="F148" t="inlineStr">
        <is>
          <t>NORRBOTTENS LÄN</t>
        </is>
      </c>
      <c r="G148" t="inlineStr">
        <is>
          <t>ÄLVSBYN</t>
        </is>
      </c>
      <c r="H148" t="inlineStr">
        <is>
          <t>SCA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60030-2021</t>
        </is>
      </c>
      <c r="B149" t="inlineStr">
        <is>
          <t>avverkningsanmälan</t>
        </is>
      </c>
      <c r="C149" t="inlineStr">
        <is>
          <t>Föryngringsavverkning</t>
        </is>
      </c>
      <c r="D149" s="1" t="n">
        <v>44494</v>
      </c>
      <c r="E149" s="1" t="n">
        <v>46284</v>
      </c>
      <c r="F149" t="inlineStr">
        <is>
          <t>NORRBOTTENS LÄN</t>
        </is>
      </c>
      <c r="G149" t="inlineStr">
        <is>
          <t>ÄLVSBYN</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3500-2023</t>
        </is>
      </c>
      <c r="B150" t="inlineStr">
        <is>
          <t>avverkningsanmälan</t>
        </is>
      </c>
      <c r="C150" t="inlineStr">
        <is>
          <t>Föryngringsavverkning</t>
        </is>
      </c>
      <c r="D150" s="1" t="n">
        <v>44949</v>
      </c>
      <c r="E150" s="1" t="n">
        <v>46284</v>
      </c>
      <c r="F150" t="inlineStr">
        <is>
          <t>NORRBOTTENS LÄN</t>
        </is>
      </c>
      <c r="G150" t="inlineStr">
        <is>
          <t>ÄLVSBYN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40509-2025</t>
        </is>
      </c>
      <c r="B151" t="inlineStr">
        <is>
          <t>avverkningsanmälan</t>
        </is>
      </c>
      <c r="C151" t="inlineStr">
        <is>
          <t>Föryngringsavverkning</t>
        </is>
      </c>
      <c r="D151" s="1" t="n">
        <v>45896</v>
      </c>
      <c r="E151" s="1" t="n">
        <v>46284</v>
      </c>
      <c r="F151" t="inlineStr">
        <is>
          <t>NORRBOTTENS LÄN</t>
        </is>
      </c>
      <c r="G151" t="inlineStr">
        <is>
          <t>ÄLVSBYN</t>
        </is>
      </c>
      <c r="H151" t="inlineStr">
        <is>
          <t>SCA</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40506-2025</t>
        </is>
      </c>
      <c r="B152" t="inlineStr">
        <is>
          <t>avverkningsanmälan</t>
        </is>
      </c>
      <c r="C152" t="inlineStr">
        <is>
          <t>Föryngringsavverkning</t>
        </is>
      </c>
      <c r="D152" s="1" t="n">
        <v>45896</v>
      </c>
      <c r="E152" s="1" t="n">
        <v>46284</v>
      </c>
      <c r="F152" t="inlineStr">
        <is>
          <t>NORRBOTTENS LÄN</t>
        </is>
      </c>
      <c r="G152" t="inlineStr">
        <is>
          <t>ÄLVSBYN</t>
        </is>
      </c>
      <c r="H152" t="inlineStr">
        <is>
          <t>SCA</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5650-2024</t>
        </is>
      </c>
      <c r="B153" t="inlineStr">
        <is>
          <t>avverkningsanmälan</t>
        </is>
      </c>
      <c r="C153" t="inlineStr">
        <is>
          <t>Föryngringsavverkning</t>
        </is>
      </c>
      <c r="D153" s="1" t="n">
        <v>45334</v>
      </c>
      <c r="E153" s="1" t="n">
        <v>46284</v>
      </c>
      <c r="F153" t="inlineStr">
        <is>
          <t>NORRBOTTENS LÄN</t>
        </is>
      </c>
      <c r="G153" t="inlineStr">
        <is>
          <t>ÄLVSBYN</t>
        </is>
      </c>
      <c r="I153" t="n">
        <v>11.8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45949-2024</t>
        </is>
      </c>
      <c r="B154" t="inlineStr">
        <is>
          <t>avverkningsanmälan</t>
        </is>
      </c>
      <c r="C154" t="inlineStr">
        <is>
          <t>Föryngringsavverkning</t>
        </is>
      </c>
      <c r="D154" s="1" t="n">
        <v>45580</v>
      </c>
      <c r="E154" s="1" t="n">
        <v>46284</v>
      </c>
      <c r="F154" t="inlineStr">
        <is>
          <t>NORRBOTTENS LÄN</t>
        </is>
      </c>
      <c r="G154" t="inlineStr">
        <is>
          <t>ÄLVSBYN</t>
        </is>
      </c>
      <c r="I154" t="n">
        <v>15.2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57139-2024</t>
        </is>
      </c>
      <c r="B155" t="inlineStr">
        <is>
          <t>avverkningsanmälan</t>
        </is>
      </c>
      <c r="C155" t="inlineStr">
        <is>
          <t>Föryngringsavverkning</t>
        </is>
      </c>
      <c r="D155" s="1" t="n">
        <v>45629</v>
      </c>
      <c r="E155" s="1" t="n">
        <v>46284</v>
      </c>
      <c r="F155" t="inlineStr">
        <is>
          <t>NORRBOTTENS LÄN</t>
        </is>
      </c>
      <c r="G155" t="inlineStr">
        <is>
          <t>ÄLVSBYN</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52265-2025</t>
        </is>
      </c>
      <c r="B156" t="inlineStr">
        <is>
          <t>avverkningsanmälan</t>
        </is>
      </c>
      <c r="C156" t="inlineStr">
        <is>
          <t>Föryngringsavverkning</t>
        </is>
      </c>
      <c r="D156" s="1" t="n">
        <v>45953</v>
      </c>
      <c r="E156" s="1" t="n">
        <v>46284</v>
      </c>
      <c r="F156" t="inlineStr">
        <is>
          <t>NORRBOTTENS LÄN</t>
        </is>
      </c>
      <c r="G156" t="inlineStr">
        <is>
          <t>ÄLVSBYN</t>
        </is>
      </c>
      <c r="H156" t="inlineStr">
        <is>
          <t>SCA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36861-2025</t>
        </is>
      </c>
      <c r="B157" t="inlineStr">
        <is>
          <t>avverkningsanmälan</t>
        </is>
      </c>
      <c r="C157" t="inlineStr">
        <is>
          <t>Föryngringsavverkning</t>
        </is>
      </c>
      <c r="D157" s="1" t="n">
        <v>45874</v>
      </c>
      <c r="E157" s="1" t="n">
        <v>46284</v>
      </c>
      <c r="F157" t="inlineStr">
        <is>
          <t>NORRBOTTENS LÄN</t>
        </is>
      </c>
      <c r="G157" t="inlineStr">
        <is>
          <t>ÄLVSBYN</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2290-2023</t>
        </is>
      </c>
      <c r="B158" t="inlineStr">
        <is>
          <t>avverkningsanmälan</t>
        </is>
      </c>
      <c r="C158" t="inlineStr">
        <is>
          <t>Föryngringsavverkning</t>
        </is>
      </c>
      <c r="D158" s="1" t="n">
        <v>44942</v>
      </c>
      <c r="E158" s="1" t="n">
        <v>46284</v>
      </c>
      <c r="F158" t="inlineStr">
        <is>
          <t>NORRBOTTENS LÄN</t>
        </is>
      </c>
      <c r="G158" t="inlineStr">
        <is>
          <t>ÄLVSBYN</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10434-2024</t>
        </is>
      </c>
      <c r="B159" t="inlineStr">
        <is>
          <t>avverkningsanmälan</t>
        </is>
      </c>
      <c r="C159" t="inlineStr">
        <is>
          <t>Föryngringsavverkning</t>
        </is>
      </c>
      <c r="D159" s="1" t="n">
        <v>45365</v>
      </c>
      <c r="E159" s="1" t="n">
        <v>46284</v>
      </c>
      <c r="F159" t="inlineStr">
        <is>
          <t>NORRBOTTENS LÄN</t>
        </is>
      </c>
      <c r="G159" t="inlineStr">
        <is>
          <t>ÄLVSBYN</t>
        </is>
      </c>
      <c r="I159" t="n">
        <v>15.1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44375-2025</t>
        </is>
      </c>
      <c r="B160" t="inlineStr">
        <is>
          <t>avverkningsanmälan</t>
        </is>
      </c>
      <c r="C160" t="inlineStr">
        <is>
          <t>Föryngringsavverkning</t>
        </is>
      </c>
      <c r="D160" s="1" t="n">
        <v>45916</v>
      </c>
      <c r="E160" s="1" t="n">
        <v>46284</v>
      </c>
      <c r="F160" t="inlineStr">
        <is>
          <t>NORRBOTTENS LÄN</t>
        </is>
      </c>
      <c r="G160" t="inlineStr">
        <is>
          <t>ÄLVSBYN</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44378-2025</t>
        </is>
      </c>
      <c r="B161" t="inlineStr">
        <is>
          <t>avverkningsanmälan</t>
        </is>
      </c>
      <c r="C161" t="inlineStr">
        <is>
          <t>Föryngringsavverkning</t>
        </is>
      </c>
      <c r="D161" s="1" t="n">
        <v>45916</v>
      </c>
      <c r="E161" s="1" t="n">
        <v>46284</v>
      </c>
      <c r="F161" t="inlineStr">
        <is>
          <t>NORRBOTTENS LÄN</t>
        </is>
      </c>
      <c r="G161" t="inlineStr">
        <is>
          <t>ÄLVSBYN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45182-2025</t>
        </is>
      </c>
      <c r="B162" t="inlineStr">
        <is>
          <t>avverkningsanmälan</t>
        </is>
      </c>
      <c r="C162" t="inlineStr">
        <is>
          <t>Föryngringsavverkning</t>
        </is>
      </c>
      <c r="D162" s="1" t="n">
        <v>45919</v>
      </c>
      <c r="E162" s="1" t="n">
        <v>46284</v>
      </c>
      <c r="F162" t="inlineStr">
        <is>
          <t>NORRBOTTENS LÄN</t>
        </is>
      </c>
      <c r="G162" t="inlineStr">
        <is>
          <t>ÄLVSBYN</t>
        </is>
      </c>
      <c r="I162" t="n">
        <v>9.800000000000001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45186-2025</t>
        </is>
      </c>
      <c r="B163" t="inlineStr">
        <is>
          <t>avverkningsanmälan</t>
        </is>
      </c>
      <c r="C163" t="inlineStr">
        <is>
          <t>Föryngringsavverkning</t>
        </is>
      </c>
      <c r="D163" s="1" t="n">
        <v>45919</v>
      </c>
      <c r="E163" s="1" t="n">
        <v>46284</v>
      </c>
      <c r="F163" t="inlineStr">
        <is>
          <t>NORRBOTTENS LÄN</t>
        </is>
      </c>
      <c r="G163" t="inlineStr">
        <is>
          <t>ÄLVSBYN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46401-2025</t>
        </is>
      </c>
      <c r="B164" t="inlineStr">
        <is>
          <t>avverkningsanmälan</t>
        </is>
      </c>
      <c r="C164" t="inlineStr">
        <is>
          <t>Föryngringsavverkning</t>
        </is>
      </c>
      <c r="D164" s="1" t="n">
        <v>45925</v>
      </c>
      <c r="E164" s="1" t="n">
        <v>46284</v>
      </c>
      <c r="F164" t="inlineStr">
        <is>
          <t>NORRBOTTENS LÄN</t>
        </is>
      </c>
      <c r="G164" t="inlineStr">
        <is>
          <t>ÄLVSBYN</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46400-2025</t>
        </is>
      </c>
      <c r="B165" t="inlineStr">
        <is>
          <t>avverkningsanmälan</t>
        </is>
      </c>
      <c r="C165" t="inlineStr">
        <is>
          <t>Föryngringsavverkning</t>
        </is>
      </c>
      <c r="D165" s="1" t="n">
        <v>45925</v>
      </c>
      <c r="E165" s="1" t="n">
        <v>46284</v>
      </c>
      <c r="F165" t="inlineStr">
        <is>
          <t>NORRBOTTENS LÄN</t>
        </is>
      </c>
      <c r="G165" t="inlineStr">
        <is>
          <t>ÄLVSBYN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3038-2025</t>
        </is>
      </c>
      <c r="B166" t="inlineStr">
        <is>
          <t>avverkningsanmälan</t>
        </is>
      </c>
      <c r="C166" t="inlineStr">
        <is>
          <t>Föryngringsavverkning</t>
        </is>
      </c>
      <c r="D166" s="1" t="n">
        <v>45678</v>
      </c>
      <c r="E166" s="1" t="n">
        <v>46284</v>
      </c>
      <c r="F166" t="inlineStr">
        <is>
          <t>NORRBOTTENS LÄN</t>
        </is>
      </c>
      <c r="G166" t="inlineStr">
        <is>
          <t>ÄLVSBYN</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46981-2025</t>
        </is>
      </c>
      <c r="B167" t="inlineStr">
        <is>
          <t>avverkningsanmälan</t>
        </is>
      </c>
      <c r="C167" t="inlineStr">
        <is>
          <t>Föryngringsavverkning</t>
        </is>
      </c>
      <c r="D167" s="1" t="n">
        <v>45929</v>
      </c>
      <c r="E167" s="1" t="n">
        <v>46284</v>
      </c>
      <c r="F167" t="inlineStr">
        <is>
          <t>NORRBOTTENS LÄN</t>
        </is>
      </c>
      <c r="G167" t="inlineStr">
        <is>
          <t>ÄLVSBYN</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47527-2025</t>
        </is>
      </c>
      <c r="B168" t="inlineStr">
        <is>
          <t>avverkningsanmälan</t>
        </is>
      </c>
      <c r="C168" t="inlineStr">
        <is>
          <t>Föryngringsavverkning</t>
        </is>
      </c>
      <c r="D168" s="1" t="n">
        <v>45931</v>
      </c>
      <c r="E168" s="1" t="n">
        <v>46284</v>
      </c>
      <c r="F168" t="inlineStr">
        <is>
          <t>NORRBOTTENS LÄN</t>
        </is>
      </c>
      <c r="G168" t="inlineStr">
        <is>
          <t>ÄLVSBYN</t>
        </is>
      </c>
      <c r="H168" t="inlineStr">
        <is>
          <t>SCA</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47842-2025</t>
        </is>
      </c>
      <c r="B169" t="inlineStr">
        <is>
          <t>avverkningsanmälan</t>
        </is>
      </c>
      <c r="C169" t="inlineStr">
        <is>
          <t>Föryngringsavverkning</t>
        </is>
      </c>
      <c r="D169" s="1" t="n">
        <v>45932</v>
      </c>
      <c r="E169" s="1" t="n">
        <v>46284</v>
      </c>
      <c r="F169" t="inlineStr">
        <is>
          <t>NORRBOTTENS LÄN</t>
        </is>
      </c>
      <c r="G169" t="inlineStr">
        <is>
          <t>ÄLVSBYN</t>
        </is>
      </c>
      <c r="H169" t="inlineStr">
        <is>
          <t>Sveaskog</t>
        </is>
      </c>
      <c r="I169" t="n">
        <v>37.9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48287-2025</t>
        </is>
      </c>
      <c r="B170" t="inlineStr">
        <is>
          <t>avverkningsanmälan</t>
        </is>
      </c>
      <c r="C170" t="inlineStr">
        <is>
          <t>Föryngringsavverkning</t>
        </is>
      </c>
      <c r="D170" s="1" t="n">
        <v>45933</v>
      </c>
      <c r="E170" s="1" t="n">
        <v>46284</v>
      </c>
      <c r="F170" t="inlineStr">
        <is>
          <t>NORRBOTTENS LÄN</t>
        </is>
      </c>
      <c r="G170" t="inlineStr">
        <is>
          <t>ÄLVSBYN</t>
        </is>
      </c>
      <c r="H170" t="inlineStr">
        <is>
          <t>SCA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60589-2024</t>
        </is>
      </c>
      <c r="B171" t="inlineStr">
        <is>
          <t>avverkningsanmälan</t>
        </is>
      </c>
      <c r="C171" t="inlineStr">
        <is>
          <t>Föryngringsavverkning</t>
        </is>
      </c>
      <c r="D171" s="1" t="n">
        <v>45642</v>
      </c>
      <c r="E171" s="1" t="n">
        <v>46284</v>
      </c>
      <c r="F171" t="inlineStr">
        <is>
          <t>NORRBOTTENS LÄN</t>
        </is>
      </c>
      <c r="G171" t="inlineStr">
        <is>
          <t>ÄLVSBYN</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48522-2025</t>
        </is>
      </c>
      <c r="B172" t="inlineStr">
        <is>
          <t>avverkningsanmälan</t>
        </is>
      </c>
      <c r="C172" t="inlineStr">
        <is>
          <t>Föryngringsavverkning</t>
        </is>
      </c>
      <c r="D172" s="1" t="n">
        <v>45936</v>
      </c>
      <c r="E172" s="1" t="n">
        <v>46284</v>
      </c>
      <c r="F172" t="inlineStr">
        <is>
          <t>NORRBOTTENS LÄN</t>
        </is>
      </c>
      <c r="G172" t="inlineStr">
        <is>
          <t>ÄLVSBYN</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21265-2026</t>
        </is>
      </c>
      <c r="B173" t="inlineStr">
        <is>
          <t>avverkningsanmälan</t>
        </is>
      </c>
      <c r="C173" t="inlineStr">
        <is>
          <t>Föryngringsavverkning</t>
        </is>
      </c>
      <c r="D173" s="1" t="n">
        <v>46147</v>
      </c>
      <c r="E173" s="1" t="n">
        <v>46284</v>
      </c>
      <c r="F173" t="inlineStr">
        <is>
          <t>NORRBOTTENS LÄN</t>
        </is>
      </c>
      <c r="G173" t="inlineStr">
        <is>
          <t>ÄLVSBYN</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49151-2025</t>
        </is>
      </c>
      <c r="B174" t="inlineStr">
        <is>
          <t>avverkningsanmälan</t>
        </is>
      </c>
      <c r="C174" t="inlineStr">
        <is>
          <t>Föryngringsavverkning</t>
        </is>
      </c>
      <c r="D174" s="1" t="n">
        <v>45938</v>
      </c>
      <c r="E174" s="1" t="n">
        <v>46284</v>
      </c>
      <c r="F174" t="inlineStr">
        <is>
          <t>NORRBOTTENS LÄN</t>
        </is>
      </c>
      <c r="G174" t="inlineStr">
        <is>
          <t>ÄLVSBYN</t>
        </is>
      </c>
      <c r="I174" t="n">
        <v>10.8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49402-2025</t>
        </is>
      </c>
      <c r="B175" t="inlineStr">
        <is>
          <t>avverkningsanmälan</t>
        </is>
      </c>
      <c r="C175" t="inlineStr">
        <is>
          <t>Föryngringsavverkning</t>
        </is>
      </c>
      <c r="D175" s="1" t="n">
        <v>45938</v>
      </c>
      <c r="E175" s="1" t="n">
        <v>46284</v>
      </c>
      <c r="F175" t="inlineStr">
        <is>
          <t>NORRBOTTENS LÄN</t>
        </is>
      </c>
      <c r="G175" t="inlineStr">
        <is>
          <t>ÄLVSBYN</t>
        </is>
      </c>
      <c r="H175" t="inlineStr">
        <is>
          <t>Sveaskog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45724-2024</t>
        </is>
      </c>
      <c r="B176" t="inlineStr">
        <is>
          <t>avverkningsanmälan</t>
        </is>
      </c>
      <c r="C176" t="inlineStr">
        <is>
          <t>Föryngringsavverkning</t>
        </is>
      </c>
      <c r="D176" s="1" t="n">
        <v>45579</v>
      </c>
      <c r="E176" s="1" t="n">
        <v>46284</v>
      </c>
      <c r="F176" t="inlineStr">
        <is>
          <t>NORRBOTTENS LÄN</t>
        </is>
      </c>
      <c r="G176" t="inlineStr">
        <is>
          <t>ÄLVSBYN</t>
        </is>
      </c>
      <c r="H176" t="inlineStr">
        <is>
          <t>SCA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13329-2025</t>
        </is>
      </c>
      <c r="B177" t="inlineStr">
        <is>
          <t>avverkningsanmälan</t>
        </is>
      </c>
      <c r="C177" t="inlineStr">
        <is>
          <t>Avverkning för annat ändamål</t>
        </is>
      </c>
      <c r="D177" s="1" t="n">
        <v>45735</v>
      </c>
      <c r="E177" s="1" t="n">
        <v>46284</v>
      </c>
      <c r="F177" t="inlineStr">
        <is>
          <t>NORRBOTTENS LÄN</t>
        </is>
      </c>
      <c r="G177" t="inlineStr">
        <is>
          <t>ÄLVSBYN</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50467-2025</t>
        </is>
      </c>
      <c r="B178" t="inlineStr">
        <is>
          <t>avverkningsanmälan</t>
        </is>
      </c>
      <c r="C178" t="inlineStr">
        <is>
          <t>Föryngringsavverkning</t>
        </is>
      </c>
      <c r="D178" s="1" t="n">
        <v>45945</v>
      </c>
      <c r="E178" s="1" t="n">
        <v>46284</v>
      </c>
      <c r="F178" t="inlineStr">
        <is>
          <t>NORRBOTTENS LÄN</t>
        </is>
      </c>
      <c r="G178" t="inlineStr">
        <is>
          <t>ÄLVSBYN</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21528-2026</t>
        </is>
      </c>
      <c r="B179" t="inlineStr">
        <is>
          <t>avverkningsanmälan</t>
        </is>
      </c>
      <c r="C179" t="inlineStr">
        <is>
          <t>Föryngringsavverkning</t>
        </is>
      </c>
      <c r="D179" s="1" t="n">
        <v>46148</v>
      </c>
      <c r="E179" s="1" t="n">
        <v>46284</v>
      </c>
      <c r="F179" t="inlineStr">
        <is>
          <t>NORRBOTTENS LÄN</t>
        </is>
      </c>
      <c r="G179" t="inlineStr">
        <is>
          <t>ÄLVSBYN</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51163-2025</t>
        </is>
      </c>
      <c r="B180" t="inlineStr">
        <is>
          <t>avverkningsanmälan</t>
        </is>
      </c>
      <c r="C180" t="inlineStr">
        <is>
          <t>Föryngringsavverkning</t>
        </is>
      </c>
      <c r="D180" s="1" t="n">
        <v>45947</v>
      </c>
      <c r="E180" s="1" t="n">
        <v>46284</v>
      </c>
      <c r="F180" t="inlineStr">
        <is>
          <t>NORRBOTTENS LÄN</t>
        </is>
      </c>
      <c r="G180" t="inlineStr">
        <is>
          <t>ÄLVSBYN</t>
        </is>
      </c>
      <c r="H180" t="inlineStr">
        <is>
          <t>SCA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50778-2025</t>
        </is>
      </c>
      <c r="B181" t="inlineStr">
        <is>
          <t>avverkningsanmälan</t>
        </is>
      </c>
      <c r="C181" t="inlineStr">
        <is>
          <t>Föryngringsavverkning</t>
        </is>
      </c>
      <c r="D181" s="1" t="n">
        <v>45946</v>
      </c>
      <c r="E181" s="1" t="n">
        <v>46284</v>
      </c>
      <c r="F181" t="inlineStr">
        <is>
          <t>NORRBOTTENS LÄN</t>
        </is>
      </c>
      <c r="G181" t="inlineStr">
        <is>
          <t>ÄLVSBYN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51684-2024</t>
        </is>
      </c>
      <c r="B182" t="inlineStr">
        <is>
          <t>avverkningsanmälan</t>
        </is>
      </c>
      <c r="C182" t="inlineStr">
        <is>
          <t>Föryngringsavverkning</t>
        </is>
      </c>
      <c r="D182" s="1" t="n">
        <v>45607</v>
      </c>
      <c r="E182" s="1" t="n">
        <v>46284</v>
      </c>
      <c r="F182" t="inlineStr">
        <is>
          <t>NORRBOTTENS LÄN</t>
        </is>
      </c>
      <c r="G182" t="inlineStr">
        <is>
          <t>ÄLVSBYN</t>
        </is>
      </c>
      <c r="H182" t="inlineStr">
        <is>
          <t>Sveaskog</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5069-2025</t>
        </is>
      </c>
      <c r="B183" t="inlineStr">
        <is>
          <t>avverkningsanmälan</t>
        </is>
      </c>
      <c r="C183" t="inlineStr">
        <is>
          <t>Föryngringsavverkning</t>
        </is>
      </c>
      <c r="D183" s="1" t="n">
        <v>45691</v>
      </c>
      <c r="E183" s="1" t="n">
        <v>46284</v>
      </c>
      <c r="F183" t="inlineStr">
        <is>
          <t>NORRBOTTENS LÄN</t>
        </is>
      </c>
      <c r="G183" t="inlineStr">
        <is>
          <t>ÄLVSBYN</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21994-2026</t>
        </is>
      </c>
      <c r="B184" t="inlineStr">
        <is>
          <t>avverkningsanmälan</t>
        </is>
      </c>
      <c r="C184" t="inlineStr">
        <is>
          <t>Föryngringsavverkning</t>
        </is>
      </c>
      <c r="D184" s="1" t="n">
        <v>46153</v>
      </c>
      <c r="E184" s="1" t="n">
        <v>46284</v>
      </c>
      <c r="F184" t="inlineStr">
        <is>
          <t>NORRBOTTENS LÄN</t>
        </is>
      </c>
      <c r="G184" t="inlineStr">
        <is>
          <t>ÄLVSBYN</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51366-2025</t>
        </is>
      </c>
      <c r="B185" t="inlineStr">
        <is>
          <t>avverkningsanmälan</t>
        </is>
      </c>
      <c r="C185" t="inlineStr">
        <is>
          <t>Föryngringsavverkning</t>
        </is>
      </c>
      <c r="D185" s="1" t="n">
        <v>45950</v>
      </c>
      <c r="E185" s="1" t="n">
        <v>46284</v>
      </c>
      <c r="F185" t="inlineStr">
        <is>
          <t>NORRBOTTENS LÄN</t>
        </is>
      </c>
      <c r="G185" t="inlineStr">
        <is>
          <t>ÄLVSBYN</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39551-2023</t>
        </is>
      </c>
      <c r="B186" t="inlineStr">
        <is>
          <t>avverkningsanmälan</t>
        </is>
      </c>
      <c r="C186" t="inlineStr">
        <is>
          <t>Föryngringsavverkning</t>
        </is>
      </c>
      <c r="D186" s="1" t="n">
        <v>45167</v>
      </c>
      <c r="E186" s="1" t="n">
        <v>46284</v>
      </c>
      <c r="F186" t="inlineStr">
        <is>
          <t>NORRBOTTENS LÄN</t>
        </is>
      </c>
      <c r="G186" t="inlineStr">
        <is>
          <t>ÄLVSBYN</t>
        </is>
      </c>
      <c r="I186" t="n">
        <v>10.4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21922-2026</t>
        </is>
      </c>
      <c r="B187" t="inlineStr">
        <is>
          <t>avverkningsanmälan</t>
        </is>
      </c>
      <c r="C187" t="inlineStr">
        <is>
          <t>Föryngringsavverkning</t>
        </is>
      </c>
      <c r="D187" s="1" t="n">
        <v>46150</v>
      </c>
      <c r="E187" s="1" t="n">
        <v>46284</v>
      </c>
      <c r="F187" t="inlineStr">
        <is>
          <t>NORRBOTTENS LÄN</t>
        </is>
      </c>
      <c r="G187" t="inlineStr">
        <is>
          <t>ÄLVSBYN</t>
        </is>
      </c>
      <c r="H187" t="inlineStr">
        <is>
          <t>SCA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22010-2026</t>
        </is>
      </c>
      <c r="B188" t="inlineStr">
        <is>
          <t>avverkningsanmälan</t>
        </is>
      </c>
      <c r="C188" t="inlineStr">
        <is>
          <t>Föryngringsavverkning</t>
        </is>
      </c>
      <c r="D188" s="1" t="n">
        <v>46153</v>
      </c>
      <c r="E188" s="1" t="n">
        <v>46284</v>
      </c>
      <c r="F188" t="inlineStr">
        <is>
          <t>NORRBOTTENS LÄN</t>
        </is>
      </c>
      <c r="G188" t="inlineStr">
        <is>
          <t>ÄLVSBYN</t>
        </is>
      </c>
      <c r="H188" t="inlineStr">
        <is>
          <t>SCA</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21787-2026</t>
        </is>
      </c>
      <c r="B189" t="inlineStr">
        <is>
          <t>avverkningsanmälan</t>
        </is>
      </c>
      <c r="C189" t="inlineStr">
        <is>
          <t>Föryngringsavverkning</t>
        </is>
      </c>
      <c r="D189" s="1" t="n">
        <v>46150</v>
      </c>
      <c r="E189" s="1" t="n">
        <v>46284</v>
      </c>
      <c r="F189" t="inlineStr">
        <is>
          <t>NORRBOTTENS LÄN</t>
        </is>
      </c>
      <c r="G189" t="inlineStr">
        <is>
          <t>ÄLVSBYN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21775-2026</t>
        </is>
      </c>
      <c r="B190" t="inlineStr">
        <is>
          <t>avverkningsanmälan</t>
        </is>
      </c>
      <c r="C190" t="inlineStr">
        <is>
          <t>Föryngringsavverkning</t>
        </is>
      </c>
      <c r="D190" s="1" t="n">
        <v>46150</v>
      </c>
      <c r="E190" s="1" t="n">
        <v>46284</v>
      </c>
      <c r="F190" t="inlineStr">
        <is>
          <t>NORRBOTTENS LÄN</t>
        </is>
      </c>
      <c r="G190" t="inlineStr">
        <is>
          <t>ÄLVSBYN</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9623-2022</t>
        </is>
      </c>
      <c r="B191" t="inlineStr">
        <is>
          <t>avverkningsanmälan</t>
        </is>
      </c>
      <c r="C191" t="inlineStr">
        <is>
          <t>Föryngringsavverkning</t>
        </is>
      </c>
      <c r="D191" s="1" t="n">
        <v>44617</v>
      </c>
      <c r="E191" s="1" t="n">
        <v>46284</v>
      </c>
      <c r="F191" t="inlineStr">
        <is>
          <t>NORRBOTTENS LÄN</t>
        </is>
      </c>
      <c r="G191" t="inlineStr">
        <is>
          <t>ÄLVSBYN</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52868-2025</t>
        </is>
      </c>
      <c r="B192" t="inlineStr">
        <is>
          <t>avverkningsanmälan</t>
        </is>
      </c>
      <c r="C192" t="inlineStr">
        <is>
          <t>Avverkning för annat ändamål</t>
        </is>
      </c>
      <c r="D192" s="1" t="n">
        <v>45957</v>
      </c>
      <c r="E192" s="1" t="n">
        <v>46284</v>
      </c>
      <c r="F192" t="inlineStr">
        <is>
          <t>NORRBOTTENS LÄN</t>
        </is>
      </c>
      <c r="G192" t="inlineStr">
        <is>
          <t>ÄLVSBYN</t>
        </is>
      </c>
      <c r="H192" t="inlineStr">
        <is>
          <t>Sveaskog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24922-2023</t>
        </is>
      </c>
      <c r="B193" t="inlineStr">
        <is>
          <t>avverkningsanmälan</t>
        </is>
      </c>
      <c r="C193" t="inlineStr">
        <is>
          <t>Föryngringsavverkning</t>
        </is>
      </c>
      <c r="D193" s="1" t="n">
        <v>45078</v>
      </c>
      <c r="E193" s="1" t="n">
        <v>46284</v>
      </c>
      <c r="F193" t="inlineStr">
        <is>
          <t>NORRBOTTENS LÄN</t>
        </is>
      </c>
      <c r="G193" t="inlineStr">
        <is>
          <t>ÄLVSBYN</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21921-2026</t>
        </is>
      </c>
      <c r="B194" t="inlineStr">
        <is>
          <t>avverkningsanmälan</t>
        </is>
      </c>
      <c r="C194" t="inlineStr">
        <is>
          <t>Föryngringsavverkning</t>
        </is>
      </c>
      <c r="D194" s="1" t="n">
        <v>46150</v>
      </c>
      <c r="E194" s="1" t="n">
        <v>46284</v>
      </c>
      <c r="F194" t="inlineStr">
        <is>
          <t>NORRBOTTENS LÄN</t>
        </is>
      </c>
      <c r="G194" t="inlineStr">
        <is>
          <t>ÄLVSBYN</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21877-2026</t>
        </is>
      </c>
      <c r="B195" t="inlineStr">
        <is>
          <t>avverkningsanmälan</t>
        </is>
      </c>
      <c r="C195" t="inlineStr">
        <is>
          <t>Föryngringsavverkning</t>
        </is>
      </c>
      <c r="D195" s="1" t="n">
        <v>46150</v>
      </c>
      <c r="E195" s="1" t="n">
        <v>46284</v>
      </c>
      <c r="F195" t="inlineStr">
        <is>
          <t>NORRBOTTENS LÄN</t>
        </is>
      </c>
      <c r="G195" t="inlineStr">
        <is>
          <t>ÄLVSBYN</t>
        </is>
      </c>
      <c r="H195" t="inlineStr">
        <is>
          <t>Sveaskog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53648-2025</t>
        </is>
      </c>
      <c r="B196" t="inlineStr">
        <is>
          <t>avverkningsanmälan</t>
        </is>
      </c>
      <c r="C196" t="inlineStr">
        <is>
          <t>Föryngringsavverkning</t>
        </is>
      </c>
      <c r="D196" s="1" t="n">
        <v>45960</v>
      </c>
      <c r="E196" s="1" t="n">
        <v>46284</v>
      </c>
      <c r="F196" t="inlineStr">
        <is>
          <t>NORRBOTTENS LÄN</t>
        </is>
      </c>
      <c r="G196" t="inlineStr">
        <is>
          <t>ÄLVSBYN</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53957-2025</t>
        </is>
      </c>
      <c r="B197" t="inlineStr">
        <is>
          <t>avverkningsanmälan</t>
        </is>
      </c>
      <c r="C197" t="inlineStr">
        <is>
          <t>Avverkning för att bevara och utveckla /försöksver</t>
        </is>
      </c>
      <c r="D197" s="1" t="n">
        <v>45961</v>
      </c>
      <c r="E197" s="1" t="n">
        <v>46284</v>
      </c>
      <c r="F197" t="inlineStr">
        <is>
          <t>NORRBOTTENS LÄN</t>
        </is>
      </c>
      <c r="G197" t="inlineStr">
        <is>
          <t>ÄLVSBYN</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57214-2022</t>
        </is>
      </c>
      <c r="B198" t="inlineStr">
        <is>
          <t>avverkningsanmälan</t>
        </is>
      </c>
      <c r="C198" t="inlineStr">
        <is>
          <t>Föryngringsavverkning</t>
        </is>
      </c>
      <c r="D198" s="1" t="n">
        <v>44895</v>
      </c>
      <c r="E198" s="1" t="n">
        <v>46284</v>
      </c>
      <c r="F198" t="inlineStr">
        <is>
          <t>NORRBOTTENS LÄN</t>
        </is>
      </c>
      <c r="G198" t="inlineStr">
        <is>
          <t>ÄLVSBYN</t>
        </is>
      </c>
      <c r="H198" t="inlineStr">
        <is>
          <t>Övriga Aktiebolag</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53840-2025</t>
        </is>
      </c>
      <c r="B199" t="inlineStr">
        <is>
          <t>avverkningsanmälan</t>
        </is>
      </c>
      <c r="C199" t="inlineStr">
        <is>
          <t>Avverkning för att bevara och utveckla /försöksver</t>
        </is>
      </c>
      <c r="D199" s="1" t="n">
        <v>45961</v>
      </c>
      <c r="E199" s="1" t="n">
        <v>46284</v>
      </c>
      <c r="F199" t="inlineStr">
        <is>
          <t>NORRBOTTENS LÄN</t>
        </is>
      </c>
      <c r="G199" t="inlineStr">
        <is>
          <t>ÄLVSBYN</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21895-2023</t>
        </is>
      </c>
      <c r="B200" t="inlineStr">
        <is>
          <t>avverkningsanmälan</t>
        </is>
      </c>
      <c r="C200" t="inlineStr">
        <is>
          <t>Föryngringsavverkning</t>
        </is>
      </c>
      <c r="D200" s="1" t="n">
        <v>45068</v>
      </c>
      <c r="E200" s="1" t="n">
        <v>46284</v>
      </c>
      <c r="F200" t="inlineStr">
        <is>
          <t>NORRBOTTENS LÄN</t>
        </is>
      </c>
      <c r="G200" t="inlineStr">
        <is>
          <t>ÄLVSBYN</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53638-2025</t>
        </is>
      </c>
      <c r="B201" t="inlineStr">
        <is>
          <t>avverkningsanmälan</t>
        </is>
      </c>
      <c r="C201" t="inlineStr">
        <is>
          <t>Avverkning för att bevara och utveckla /försöksver</t>
        </is>
      </c>
      <c r="D201" s="1" t="n">
        <v>45960</v>
      </c>
      <c r="E201" s="1" t="n">
        <v>46284</v>
      </c>
      <c r="F201" t="inlineStr">
        <is>
          <t>NORRBOTTENS LÄN</t>
        </is>
      </c>
      <c r="G201" t="inlineStr">
        <is>
          <t>ÄLVSBYN</t>
        </is>
      </c>
      <c r="H201" t="inlineStr">
        <is>
          <t>Sveaskog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60403-2022</t>
        </is>
      </c>
      <c r="B202" t="inlineStr">
        <is>
          <t>avverkningsanmälan</t>
        </is>
      </c>
      <c r="C202" t="inlineStr">
        <is>
          <t>Föryngringsavverkning</t>
        </is>
      </c>
      <c r="D202" s="1" t="n">
        <v>44910</v>
      </c>
      <c r="E202" s="1" t="n">
        <v>46284</v>
      </c>
      <c r="F202" t="inlineStr">
        <is>
          <t>NORRBOTTENS LÄN</t>
        </is>
      </c>
      <c r="G202" t="inlineStr">
        <is>
          <t>ÄLVSBYN</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54175-2025</t>
        </is>
      </c>
      <c r="B203" t="inlineStr">
        <is>
          <t>avverkningsanmälan</t>
        </is>
      </c>
      <c r="C203" t="inlineStr">
        <is>
          <t>Föryngringsavverkning</t>
        </is>
      </c>
      <c r="D203" s="1" t="n">
        <v>45964</v>
      </c>
      <c r="E203" s="1" t="n">
        <v>46284</v>
      </c>
      <c r="F203" t="inlineStr">
        <is>
          <t>NORRBOTTENS LÄN</t>
        </is>
      </c>
      <c r="G203" t="inlineStr">
        <is>
          <t>ÄLVSBYN</t>
        </is>
      </c>
      <c r="I203" t="n">
        <v>10.6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22253-2026</t>
        </is>
      </c>
      <c r="B204" t="inlineStr">
        <is>
          <t>avverkningsanmälan</t>
        </is>
      </c>
      <c r="C204" t="inlineStr">
        <is>
          <t>Föryngringsavverkning</t>
        </is>
      </c>
      <c r="D204" s="1" t="n">
        <v>46154</v>
      </c>
      <c r="E204" s="1" t="n">
        <v>46284</v>
      </c>
      <c r="F204" t="inlineStr">
        <is>
          <t>NORRBOTTENS LÄN</t>
        </is>
      </c>
      <c r="G204" t="inlineStr">
        <is>
          <t>ÄLVSBYN</t>
        </is>
      </c>
      <c r="H204" t="inlineStr">
        <is>
          <t>Sveaskog</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2293-2023</t>
        </is>
      </c>
      <c r="B205" t="inlineStr">
        <is>
          <t>avverkningsanmälan</t>
        </is>
      </c>
      <c r="C205" t="inlineStr">
        <is>
          <t>Föryngringsavverkning</t>
        </is>
      </c>
      <c r="D205" s="1" t="n">
        <v>44942</v>
      </c>
      <c r="E205" s="1" t="n">
        <v>46284</v>
      </c>
      <c r="F205" t="inlineStr">
        <is>
          <t>NORRBOTTENS LÄN</t>
        </is>
      </c>
      <c r="G205" t="inlineStr">
        <is>
          <t>ÄLVSBYN</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52397-2023</t>
        </is>
      </c>
      <c r="B206" t="inlineStr">
        <is>
          <t>avverkningsanmälan</t>
        </is>
      </c>
      <c r="C206" t="inlineStr">
        <is>
          <t>Föryngringsavverkning</t>
        </is>
      </c>
      <c r="D206" s="1" t="n">
        <v>45224</v>
      </c>
      <c r="E206" s="1" t="n">
        <v>46284</v>
      </c>
      <c r="F206" t="inlineStr">
        <is>
          <t>NORRBOTTENS LÄN</t>
        </is>
      </c>
      <c r="G206" t="inlineStr">
        <is>
          <t>ÄLVSBYN</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55809-2025</t>
        </is>
      </c>
      <c r="B207" t="inlineStr">
        <is>
          <t>avverkningsanmälan</t>
        </is>
      </c>
      <c r="C207" t="inlineStr">
        <is>
          <t>Föryngringsavverkning</t>
        </is>
      </c>
      <c r="D207" s="1" t="n">
        <v>45972</v>
      </c>
      <c r="E207" s="1" t="n">
        <v>46284</v>
      </c>
      <c r="F207" t="inlineStr">
        <is>
          <t>NORRBOTTENS LÄN</t>
        </is>
      </c>
      <c r="G207" t="inlineStr">
        <is>
          <t>ÄLVSBYN</t>
        </is>
      </c>
      <c r="H207" t="inlineStr">
        <is>
          <t>SCA</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46406-2023</t>
        </is>
      </c>
      <c r="B208" t="inlineStr">
        <is>
          <t>avverkningsanmälan</t>
        </is>
      </c>
      <c r="C208" t="inlineStr">
        <is>
          <t>Föryngringsavverkning</t>
        </is>
      </c>
      <c r="D208" s="1" t="n">
        <v>45194</v>
      </c>
      <c r="E208" s="1" t="n">
        <v>46284</v>
      </c>
      <c r="F208" t="inlineStr">
        <is>
          <t>NORRBOTTENS LÄN</t>
        </is>
      </c>
      <c r="G208" t="inlineStr">
        <is>
          <t>ÄLVSBYN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55850-2025</t>
        </is>
      </c>
      <c r="B209" t="inlineStr">
        <is>
          <t>avverkningsanmälan</t>
        </is>
      </c>
      <c r="C209" t="inlineStr">
        <is>
          <t>Föryngringsavverkning</t>
        </is>
      </c>
      <c r="D209" s="1" t="n">
        <v>45973</v>
      </c>
      <c r="E209" s="1" t="n">
        <v>46284</v>
      </c>
      <c r="F209" t="inlineStr">
        <is>
          <t>NORRBOTTENS LÄN</t>
        </is>
      </c>
      <c r="G209" t="inlineStr">
        <is>
          <t>ÄLVSBYN</t>
        </is>
      </c>
      <c r="H209" t="inlineStr">
        <is>
          <t>Sveaskog</t>
        </is>
      </c>
      <c r="I209" t="n">
        <v>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55635-2025</t>
        </is>
      </c>
      <c r="B210" t="inlineStr">
        <is>
          <t>avverkningsanmälan</t>
        </is>
      </c>
      <c r="C210" t="inlineStr">
        <is>
          <t>Föryngringsavverkning</t>
        </is>
      </c>
      <c r="D210" s="1" t="n">
        <v>45972</v>
      </c>
      <c r="E210" s="1" t="n">
        <v>46284</v>
      </c>
      <c r="F210" t="inlineStr">
        <is>
          <t>NORRBOTTENS LÄN</t>
        </is>
      </c>
      <c r="G210" t="inlineStr">
        <is>
          <t>ÄLVSBYN</t>
        </is>
      </c>
      <c r="H210" t="inlineStr">
        <is>
          <t>SCA</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9634-2022</t>
        </is>
      </c>
      <c r="B211" t="inlineStr">
        <is>
          <t>avverkningsanmälan</t>
        </is>
      </c>
      <c r="C211" t="inlineStr">
        <is>
          <t>Avverkning för annat ändamål</t>
        </is>
      </c>
      <c r="D211" s="1" t="n">
        <v>44617</v>
      </c>
      <c r="E211" s="1" t="n">
        <v>46284</v>
      </c>
      <c r="F211" t="inlineStr">
        <is>
          <t>NORRBOTTENS LÄN</t>
        </is>
      </c>
      <c r="G211" t="inlineStr">
        <is>
          <t>ÄLVSBYN</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56627-2025</t>
        </is>
      </c>
      <c r="B212" t="inlineStr">
        <is>
          <t>avverkningsanmälan</t>
        </is>
      </c>
      <c r="C212" t="inlineStr">
        <is>
          <t>Avverkning för annat ändamål</t>
        </is>
      </c>
      <c r="D212" s="1" t="n">
        <v>45975</v>
      </c>
      <c r="E212" s="1" t="n">
        <v>46284</v>
      </c>
      <c r="F212" t="inlineStr">
        <is>
          <t>NORRBOTTENS LÄN</t>
        </is>
      </c>
      <c r="G212" t="inlineStr">
        <is>
          <t>ÄLVSBYN</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56246-2025</t>
        </is>
      </c>
      <c r="B213" t="inlineStr">
        <is>
          <t>avverkningsanmälan</t>
        </is>
      </c>
      <c r="C213" t="inlineStr">
        <is>
          <t>Föryngringsavverkning</t>
        </is>
      </c>
      <c r="D213" s="1" t="n">
        <v>45974</v>
      </c>
      <c r="E213" s="1" t="n">
        <v>46284</v>
      </c>
      <c r="F213" t="inlineStr">
        <is>
          <t>NORRBOTTENS LÄN</t>
        </is>
      </c>
      <c r="G213" t="inlineStr">
        <is>
          <t>ÄLVSBYN</t>
        </is>
      </c>
      <c r="I213" t="n">
        <v>0.3</v>
      </c>
      <c r="J213" t="n">
        <v>0</v>
      </c>
      <c r="K213" t="n">
        <v>0</v>
      </c>
      <c r="L213" t="n">
        <v>0</v>
      </c>
      <c r="M213" t="n">
        <v>0</v>
      </c>
      <c r="N213" t="n">
        <v>0</v>
      </c>
      <c r="O213" t="n">
        <v>0</v>
      </c>
      <c r="P213" t="n">
        <v>0</v>
      </c>
      <c r="Q213" t="n">
        <v>0</v>
      </c>
      <c r="R213" t="n">
        <v>0</v>
      </c>
      <c r="S213" t="n">
        <v>0</v>
      </c>
      <c r="T213" t="n">
        <v>0</v>
      </c>
      <c r="U213" t="n">
        <v>0</v>
      </c>
      <c r="V213" s="2" t="inlineStr"/>
      <c r="Z213">
        <f>HYPERLINK("https://klasma.github.io/Logging_2560/knärot/A 56246-2025 karta knärot.png", "A 56246-2025")</f>
        <v/>
      </c>
      <c r="AA213">
        <f>HYPERLINK("https://klasma.github.io/Logging_2560/klagomål/A 56246-2025 FSC-klagomål.docx", "A 56246-2025")</f>
        <v/>
      </c>
      <c r="AB213">
        <f>HYPERLINK("https://klasma.github.io/Logging_2560/klagomålsmail/A 56246-2025 FSC-klagomål mail.docx", "A 56246-2025")</f>
        <v/>
      </c>
      <c r="AC213">
        <f>HYPERLINK("https://klasma.github.io/Logging_2560/tillsyn/A 56246-2025 tillsynsbegäran.docx", "A 56246-2025")</f>
        <v/>
      </c>
      <c r="AD213">
        <f>HYPERLINK("https://klasma.github.io/Logging_2560/tillsynsmail/A 56246-2025 tillsynsbegäran mail.docx", "A 56246-2025")</f>
        <v/>
      </c>
    </row>
    <row r="214" ht="15" customHeight="1">
      <c r="A214" t="inlineStr">
        <is>
          <t>A 56532-2025</t>
        </is>
      </c>
      <c r="B214" t="inlineStr">
        <is>
          <t>avverkningsanmälan</t>
        </is>
      </c>
      <c r="C214" t="inlineStr">
        <is>
          <t>Föryngringsavverkning</t>
        </is>
      </c>
      <c r="D214" s="1" t="n">
        <v>45975</v>
      </c>
      <c r="E214" s="1" t="n">
        <v>46284</v>
      </c>
      <c r="F214" t="inlineStr">
        <is>
          <t>NORRBOTTENS LÄN</t>
        </is>
      </c>
      <c r="G214" t="inlineStr">
        <is>
          <t>ÄLVSBYN</t>
        </is>
      </c>
      <c r="H214" t="inlineStr">
        <is>
          <t>SCA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56245-2025</t>
        </is>
      </c>
      <c r="B215" t="inlineStr">
        <is>
          <t>avverkningsanmälan</t>
        </is>
      </c>
      <c r="C215" t="inlineStr">
        <is>
          <t>Föryngringsavverkning</t>
        </is>
      </c>
      <c r="D215" s="1" t="n">
        <v>45974</v>
      </c>
      <c r="E215" s="1" t="n">
        <v>46284</v>
      </c>
      <c r="F215" t="inlineStr">
        <is>
          <t>NORRBOTTENS LÄN</t>
        </is>
      </c>
      <c r="G215" t="inlineStr">
        <is>
          <t>ÄLVSBYN</t>
        </is>
      </c>
      <c r="I215" t="n">
        <v>1.1</v>
      </c>
      <c r="J215" t="n">
        <v>0</v>
      </c>
      <c r="K215" t="n">
        <v>0</v>
      </c>
      <c r="L215" t="n">
        <v>0</v>
      </c>
      <c r="M215" t="n">
        <v>0</v>
      </c>
      <c r="N215" t="n">
        <v>0</v>
      </c>
      <c r="O215" t="n">
        <v>0</v>
      </c>
      <c r="P215" t="n">
        <v>0</v>
      </c>
      <c r="Q215" t="n">
        <v>0</v>
      </c>
      <c r="R215" t="n">
        <v>0</v>
      </c>
      <c r="S215" t="n">
        <v>0</v>
      </c>
      <c r="T215" t="n">
        <v>0</v>
      </c>
      <c r="U215" t="n">
        <v>0</v>
      </c>
      <c r="V215" s="2" t="inlineStr"/>
      <c r="Z215">
        <f>HYPERLINK("https://klasma.github.io/Logging_2560/knärot/A 56245-2025 karta knärot.png", "A 56245-2025")</f>
        <v/>
      </c>
      <c r="AA215">
        <f>HYPERLINK("https://klasma.github.io/Logging_2560/klagomål/A 56245-2025 FSC-klagomål.docx", "A 56245-2025")</f>
        <v/>
      </c>
      <c r="AB215">
        <f>HYPERLINK("https://klasma.github.io/Logging_2560/klagomålsmail/A 56245-2025 FSC-klagomål mail.docx", "A 56245-2025")</f>
        <v/>
      </c>
      <c r="AC215">
        <f>HYPERLINK("https://klasma.github.io/Logging_2560/tillsyn/A 56245-2025 tillsynsbegäran.docx", "A 56245-2025")</f>
        <v/>
      </c>
      <c r="AD215">
        <f>HYPERLINK("https://klasma.github.io/Logging_2560/tillsynsmail/A 56245-2025 tillsynsbegäran mail.docx", "A 56245-2025")</f>
        <v/>
      </c>
    </row>
    <row r="216" ht="15" customHeight="1">
      <c r="A216" t="inlineStr">
        <is>
          <t>A 19142-2023</t>
        </is>
      </c>
      <c r="B216" t="inlineStr">
        <is>
          <t>avverkningsanmälan</t>
        </is>
      </c>
      <c r="C216" t="inlineStr">
        <is>
          <t>Föryngringsavverkning</t>
        </is>
      </c>
      <c r="D216" s="1" t="n">
        <v>45044</v>
      </c>
      <c r="E216" s="1" t="n">
        <v>46284</v>
      </c>
      <c r="F216" t="inlineStr">
        <is>
          <t>NORRBOTTENS LÄN</t>
        </is>
      </c>
      <c r="G216" t="inlineStr">
        <is>
          <t>ÄLVSBYN</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57066-2025</t>
        </is>
      </c>
      <c r="B217" t="inlineStr">
        <is>
          <t>avverkningsanmälan</t>
        </is>
      </c>
      <c r="C217" t="inlineStr">
        <is>
          <t>Föryngringsavverkning</t>
        </is>
      </c>
      <c r="D217" s="1" t="n">
        <v>45979</v>
      </c>
      <c r="E217" s="1" t="n">
        <v>46284</v>
      </c>
      <c r="F217" t="inlineStr">
        <is>
          <t>NORRBOTTENS LÄN</t>
        </is>
      </c>
      <c r="G217" t="inlineStr">
        <is>
          <t>ÄLVSBYN</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57331-2025</t>
        </is>
      </c>
      <c r="B218" t="inlineStr">
        <is>
          <t>avverkningsanmälan</t>
        </is>
      </c>
      <c r="C218" t="inlineStr">
        <is>
          <t>Föryngringsavverkning</t>
        </is>
      </c>
      <c r="D218" s="1" t="n">
        <v>45980</v>
      </c>
      <c r="E218" s="1" t="n">
        <v>46284</v>
      </c>
      <c r="F218" t="inlineStr">
        <is>
          <t>NORRBOTTENS LÄN</t>
        </is>
      </c>
      <c r="G218" t="inlineStr">
        <is>
          <t>ÄLVSBYN</t>
        </is>
      </c>
      <c r="H218" t="inlineStr">
        <is>
          <t>SCA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58848-2025</t>
        </is>
      </c>
      <c r="B219" t="inlineStr">
        <is>
          <t>avverkningsanmälan</t>
        </is>
      </c>
      <c r="C219" t="inlineStr">
        <is>
          <t>Föryngringsavverkning</t>
        </is>
      </c>
      <c r="D219" s="1" t="n">
        <v>45987</v>
      </c>
      <c r="E219" s="1" t="n">
        <v>46284</v>
      </c>
      <c r="F219" t="inlineStr">
        <is>
          <t>NORRBOTTENS LÄN</t>
        </is>
      </c>
      <c r="G219" t="inlineStr">
        <is>
          <t>ÄLVSBYN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8334-2025</t>
        </is>
      </c>
      <c r="B220" t="inlineStr">
        <is>
          <t>avverkningsanmälan</t>
        </is>
      </c>
      <c r="C220" t="inlineStr">
        <is>
          <t>Avverkning för annat ändamål</t>
        </is>
      </c>
      <c r="D220" s="1" t="n">
        <v>45708</v>
      </c>
      <c r="E220" s="1" t="n">
        <v>46284</v>
      </c>
      <c r="F220" t="inlineStr">
        <is>
          <t>NORRBOTTENS LÄN</t>
        </is>
      </c>
      <c r="G220" t="inlineStr">
        <is>
          <t>ÄLVSBYN</t>
        </is>
      </c>
      <c r="H220" t="inlineStr">
        <is>
          <t>SCA</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58664-2025</t>
        </is>
      </c>
      <c r="B221" t="inlineStr">
        <is>
          <t>avverkningsanmälan</t>
        </is>
      </c>
      <c r="C221" t="inlineStr">
        <is>
          <t>Föryngringsavverkning</t>
        </is>
      </c>
      <c r="D221" s="1" t="n">
        <v>45986</v>
      </c>
      <c r="E221" s="1" t="n">
        <v>46284</v>
      </c>
      <c r="F221" t="inlineStr">
        <is>
          <t>NORRBOTTENS LÄN</t>
        </is>
      </c>
      <c r="G221" t="inlineStr">
        <is>
          <t>ÄLVSBYN</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58982-2025</t>
        </is>
      </c>
      <c r="B222" t="inlineStr">
        <is>
          <t>avverkningsanmälan</t>
        </is>
      </c>
      <c r="C222" t="inlineStr">
        <is>
          <t>Föryngringsavverkning</t>
        </is>
      </c>
      <c r="D222" s="1" t="n">
        <v>45987</v>
      </c>
      <c r="E222" s="1" t="n">
        <v>46284</v>
      </c>
      <c r="F222" t="inlineStr">
        <is>
          <t>NORRBOTTENS LÄN</t>
        </is>
      </c>
      <c r="G222" t="inlineStr">
        <is>
          <t>ÄLVSBYN</t>
        </is>
      </c>
      <c r="H222" t="inlineStr">
        <is>
          <t>SCA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58660-2025</t>
        </is>
      </c>
      <c r="B223" t="inlineStr">
        <is>
          <t>avverkningsanmälan</t>
        </is>
      </c>
      <c r="C223" t="inlineStr">
        <is>
          <t>Föryngringsavverkning</t>
        </is>
      </c>
      <c r="D223" s="1" t="n">
        <v>45986</v>
      </c>
      <c r="E223" s="1" t="n">
        <v>46284</v>
      </c>
      <c r="F223" t="inlineStr">
        <is>
          <t>NORRBOTTENS LÄN</t>
        </is>
      </c>
      <c r="G223" t="inlineStr">
        <is>
          <t>ÄLVSBYN</t>
        </is>
      </c>
      <c r="H223" t="inlineStr">
        <is>
          <t>Sveaskog</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62696-2023</t>
        </is>
      </c>
      <c r="B224" t="inlineStr">
        <is>
          <t>avverkningsanmälan</t>
        </is>
      </c>
      <c r="C224" t="inlineStr">
        <is>
          <t>Föryngringsavverkning</t>
        </is>
      </c>
      <c r="D224" s="1" t="n">
        <v>45271</v>
      </c>
      <c r="E224" s="1" t="n">
        <v>46284</v>
      </c>
      <c r="F224" t="inlineStr">
        <is>
          <t>NORRBOTTENS LÄN</t>
        </is>
      </c>
      <c r="G224" t="inlineStr">
        <is>
          <t>ÄLVSBYN</t>
        </is>
      </c>
      <c r="H224" t="inlineStr">
        <is>
          <t>Övriga Aktiebolag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23164-2026</t>
        </is>
      </c>
      <c r="B225" t="inlineStr">
        <is>
          <t>avverkningsanmälan</t>
        </is>
      </c>
      <c r="C225" t="inlineStr">
        <is>
          <t>Föryngringsavverkning</t>
        </is>
      </c>
      <c r="D225" s="1" t="n">
        <v>46161</v>
      </c>
      <c r="E225" s="1" t="n">
        <v>46284</v>
      </c>
      <c r="F225" t="inlineStr">
        <is>
          <t>NORRBOTTENS LÄN</t>
        </is>
      </c>
      <c r="G225" t="inlineStr">
        <is>
          <t>ÄLVSBYN</t>
        </is>
      </c>
      <c r="H225" t="inlineStr">
        <is>
          <t>SCA</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59696-2025</t>
        </is>
      </c>
      <c r="B226" t="inlineStr">
        <is>
          <t>avverkningsanmälan</t>
        </is>
      </c>
      <c r="C226" t="inlineStr">
        <is>
          <t>Föryngringsavverkning</t>
        </is>
      </c>
      <c r="D226" s="1" t="n">
        <v>45992</v>
      </c>
      <c r="E226" s="1" t="n">
        <v>46284</v>
      </c>
      <c r="F226" t="inlineStr">
        <is>
          <t>NORRBOTTENS LÄN</t>
        </is>
      </c>
      <c r="G226" t="inlineStr">
        <is>
          <t>ÄLVSBYN</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22923-2026</t>
        </is>
      </c>
      <c r="B227" t="inlineStr">
        <is>
          <t>avverkningsanmälan</t>
        </is>
      </c>
      <c r="C227" t="inlineStr">
        <is>
          <t>Föryngringsavverkning</t>
        </is>
      </c>
      <c r="D227" s="1" t="n">
        <v>46160</v>
      </c>
      <c r="E227" s="1" t="n">
        <v>46284</v>
      </c>
      <c r="F227" t="inlineStr">
        <is>
          <t>NORRBOTTENS LÄN</t>
        </is>
      </c>
      <c r="G227" t="inlineStr">
        <is>
          <t>ÄLVSBYN</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22-2023</t>
        </is>
      </c>
      <c r="B228" t="inlineStr">
        <is>
          <t>avverkningsanmälan</t>
        </is>
      </c>
      <c r="C228" t="inlineStr">
        <is>
          <t>Föryngringsavverkning</t>
        </is>
      </c>
      <c r="D228" s="1" t="n">
        <v>44918</v>
      </c>
      <c r="E228" s="1" t="n">
        <v>46284</v>
      </c>
      <c r="F228" t="inlineStr">
        <is>
          <t>NORRBOTTENS LÄN</t>
        </is>
      </c>
      <c r="G228" t="inlineStr">
        <is>
          <t>ÄLVSBYN</t>
        </is>
      </c>
      <c r="I228" t="n">
        <v>8.199999999999999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43-2023</t>
        </is>
      </c>
      <c r="B229" t="inlineStr">
        <is>
          <t>avverkningsanmälan</t>
        </is>
      </c>
      <c r="C229" t="inlineStr">
        <is>
          <t>Föryngringsavverkning</t>
        </is>
      </c>
      <c r="D229" s="1" t="n">
        <v>44918</v>
      </c>
      <c r="E229" s="1" t="n">
        <v>46284</v>
      </c>
      <c r="F229" t="inlineStr">
        <is>
          <t>NORRBOTTENS LÄN</t>
        </is>
      </c>
      <c r="G229" t="inlineStr">
        <is>
          <t>ÄLVSBYN</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59726-2025</t>
        </is>
      </c>
      <c r="B230" t="inlineStr">
        <is>
          <t>avverkningsanmälan</t>
        </is>
      </c>
      <c r="C230" t="inlineStr">
        <is>
          <t>Föryngringsavverkning</t>
        </is>
      </c>
      <c r="D230" s="1" t="n">
        <v>45992</v>
      </c>
      <c r="E230" s="1" t="n">
        <v>46284</v>
      </c>
      <c r="F230" t="inlineStr">
        <is>
          <t>NORRBOTTENS LÄN</t>
        </is>
      </c>
      <c r="G230" t="inlineStr">
        <is>
          <t>ÄLVSBYN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59737-2025</t>
        </is>
      </c>
      <c r="B231" t="inlineStr">
        <is>
          <t>avverkningsanmälan</t>
        </is>
      </c>
      <c r="C231" t="inlineStr">
        <is>
          <t>Föryngringsavverkning</t>
        </is>
      </c>
      <c r="D231" s="1" t="n">
        <v>45992</v>
      </c>
      <c r="E231" s="1" t="n">
        <v>46284</v>
      </c>
      <c r="F231" t="inlineStr">
        <is>
          <t>NORRBOTTENS LÄN</t>
        </is>
      </c>
      <c r="G231" t="inlineStr">
        <is>
          <t>ÄLVSBYN</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59695-2025</t>
        </is>
      </c>
      <c r="B232" t="inlineStr">
        <is>
          <t>avverkningsanmälan</t>
        </is>
      </c>
      <c r="C232" t="inlineStr">
        <is>
          <t>Föryngringsavverkning</t>
        </is>
      </c>
      <c r="D232" s="1" t="n">
        <v>45992</v>
      </c>
      <c r="E232" s="1" t="n">
        <v>46284</v>
      </c>
      <c r="F232" t="inlineStr">
        <is>
          <t>NORRBOTTENS LÄN</t>
        </is>
      </c>
      <c r="G232" t="inlineStr">
        <is>
          <t>ÄLVSBYN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59676-2025</t>
        </is>
      </c>
      <c r="B233" t="inlineStr">
        <is>
          <t>avverkningsanmälan</t>
        </is>
      </c>
      <c r="C233" t="inlineStr">
        <is>
          <t>Föryngringsavverkning</t>
        </is>
      </c>
      <c r="D233" s="1" t="n">
        <v>45992</v>
      </c>
      <c r="E233" s="1" t="n">
        <v>46284</v>
      </c>
      <c r="F233" t="inlineStr">
        <is>
          <t>NORRBOTTENS LÄN</t>
        </is>
      </c>
      <c r="G233" t="inlineStr">
        <is>
          <t>ÄLVSBYN</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54317-2023</t>
        </is>
      </c>
      <c r="B234" t="inlineStr">
        <is>
          <t>avverkningsanmälan</t>
        </is>
      </c>
      <c r="C234" t="inlineStr">
        <is>
          <t>Föryngringsavverkning</t>
        </is>
      </c>
      <c r="D234" s="1" t="n">
        <v>45232</v>
      </c>
      <c r="E234" s="1" t="n">
        <v>46284</v>
      </c>
      <c r="F234" t="inlineStr">
        <is>
          <t>NORRBOTTENS LÄN</t>
        </is>
      </c>
      <c r="G234" t="inlineStr">
        <is>
          <t>ÄLVSBYN</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22924-2026</t>
        </is>
      </c>
      <c r="B235" t="inlineStr">
        <is>
          <t>avverkningsanmälan</t>
        </is>
      </c>
      <c r="C235" t="inlineStr">
        <is>
          <t>Föryngringsavverkning</t>
        </is>
      </c>
      <c r="D235" s="1" t="n">
        <v>46160</v>
      </c>
      <c r="E235" s="1" t="n">
        <v>46284</v>
      </c>
      <c r="F235" t="inlineStr">
        <is>
          <t>NORRBOTTENS LÄN</t>
        </is>
      </c>
      <c r="G235" t="inlineStr">
        <is>
          <t>ÄLVSBYN</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22931-2026</t>
        </is>
      </c>
      <c r="B236" t="inlineStr">
        <is>
          <t>avverkningsanmälan</t>
        </is>
      </c>
      <c r="C236" t="inlineStr">
        <is>
          <t>Föryngringsavverkning</t>
        </is>
      </c>
      <c r="D236" s="1" t="n">
        <v>46160</v>
      </c>
      <c r="E236" s="1" t="n">
        <v>46284</v>
      </c>
      <c r="F236" t="inlineStr">
        <is>
          <t>NORRBOTTENS LÄN</t>
        </is>
      </c>
      <c r="G236" t="inlineStr">
        <is>
          <t>ÄLVSBYN</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22926-2026</t>
        </is>
      </c>
      <c r="B237" t="inlineStr">
        <is>
          <t>avverkningsanmälan</t>
        </is>
      </c>
      <c r="C237" t="inlineStr">
        <is>
          <t>Föryngringsavverkning</t>
        </is>
      </c>
      <c r="D237" s="1" t="n">
        <v>46160</v>
      </c>
      <c r="E237" s="1" t="n">
        <v>46284</v>
      </c>
      <c r="F237" t="inlineStr">
        <is>
          <t>NORRBOTTENS LÄN</t>
        </is>
      </c>
      <c r="G237" t="inlineStr">
        <is>
          <t>ÄLVSBYN</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22937-2026</t>
        </is>
      </c>
      <c r="B238" t="inlineStr">
        <is>
          <t>avverkningsanmälan</t>
        </is>
      </c>
      <c r="C238" t="inlineStr">
        <is>
          <t>Föryngringsavverkning</t>
        </is>
      </c>
      <c r="D238" s="1" t="n">
        <v>46160</v>
      </c>
      <c r="E238" s="1" t="n">
        <v>46284</v>
      </c>
      <c r="F238" t="inlineStr">
        <is>
          <t>NORRBOTTENS LÄN</t>
        </is>
      </c>
      <c r="G238" t="inlineStr">
        <is>
          <t>ÄLVSBYN</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46786-2024</t>
        </is>
      </c>
      <c r="B239" t="inlineStr">
        <is>
          <t>avverkningsanmälan</t>
        </is>
      </c>
      <c r="C239" t="inlineStr">
        <is>
          <t>Föryngringsavverkning</t>
        </is>
      </c>
      <c r="D239" s="1" t="n">
        <v>45583</v>
      </c>
      <c r="E239" s="1" t="n">
        <v>46284</v>
      </c>
      <c r="F239" t="inlineStr">
        <is>
          <t>NORRBOTTENS LÄN</t>
        </is>
      </c>
      <c r="G239" t="inlineStr">
        <is>
          <t>ÄLVSBYN</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39020-2024</t>
        </is>
      </c>
      <c r="B240" t="inlineStr">
        <is>
          <t>avverkningsanmälan</t>
        </is>
      </c>
      <c r="C240" t="inlineStr">
        <is>
          <t>Föryngringsavverkning</t>
        </is>
      </c>
      <c r="D240" s="1" t="n">
        <v>45548</v>
      </c>
      <c r="E240" s="1" t="n">
        <v>46284</v>
      </c>
      <c r="F240" t="inlineStr">
        <is>
          <t>NORRBOTTENS LÄN</t>
        </is>
      </c>
      <c r="G240" t="inlineStr">
        <is>
          <t>ÄLVSBYN</t>
        </is>
      </c>
      <c r="H240" t="inlineStr">
        <is>
          <t>Sveaskog</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23461-2026</t>
        </is>
      </c>
      <c r="B241" t="inlineStr">
        <is>
          <t>avverkningsanmälan</t>
        </is>
      </c>
      <c r="C241" t="inlineStr">
        <is>
          <t>Föryngringsavverkning</t>
        </is>
      </c>
      <c r="D241" s="1" t="n">
        <v>46163</v>
      </c>
      <c r="E241" s="1" t="n">
        <v>46284</v>
      </c>
      <c r="F241" t="inlineStr">
        <is>
          <t>NORRBOTTENS LÄN</t>
        </is>
      </c>
      <c r="G241" t="inlineStr">
        <is>
          <t>ÄLVSBYN</t>
        </is>
      </c>
      <c r="H241" t="inlineStr">
        <is>
          <t>SCA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10066-2023</t>
        </is>
      </c>
      <c r="B242" t="inlineStr">
        <is>
          <t>avverkningsanmälan</t>
        </is>
      </c>
      <c r="C242" t="inlineStr">
        <is>
          <t>Föryngringsavverkning</t>
        </is>
      </c>
      <c r="D242" s="1" t="n">
        <v>44985</v>
      </c>
      <c r="E242" s="1" t="n">
        <v>46284</v>
      </c>
      <c r="F242" t="inlineStr">
        <is>
          <t>NORRBOTTENS LÄN</t>
        </is>
      </c>
      <c r="G242" t="inlineStr">
        <is>
          <t>ÄLVSBYN</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23741-2026</t>
        </is>
      </c>
      <c r="B243" t="inlineStr">
        <is>
          <t>avverkningsanmälan</t>
        </is>
      </c>
      <c r="C243" t="inlineStr">
        <is>
          <t>Föryngringsavverkning</t>
        </is>
      </c>
      <c r="D243" s="1" t="n">
        <v>46164</v>
      </c>
      <c r="E243" s="1" t="n">
        <v>46284</v>
      </c>
      <c r="F243" t="inlineStr">
        <is>
          <t>NORRBOTTENS LÄN</t>
        </is>
      </c>
      <c r="G243" t="inlineStr">
        <is>
          <t>ÄLVSBYN</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59826-2024</t>
        </is>
      </c>
      <c r="B244" t="inlineStr">
        <is>
          <t>avverkningsanmälan</t>
        </is>
      </c>
      <c r="C244" t="inlineStr">
        <is>
          <t>Föryngringsavverkning</t>
        </is>
      </c>
      <c r="D244" s="1" t="n">
        <v>45639</v>
      </c>
      <c r="E244" s="1" t="n">
        <v>46284</v>
      </c>
      <c r="F244" t="inlineStr">
        <is>
          <t>NORRBOTTENS LÄN</t>
        </is>
      </c>
      <c r="G244" t="inlineStr">
        <is>
          <t>ÄLVSBYN</t>
        </is>
      </c>
      <c r="H244" t="inlineStr">
        <is>
          <t>Övriga Aktiebolag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53955-2025</t>
        </is>
      </c>
      <c r="B245" t="inlineStr">
        <is>
          <t>avverkningsanmälan</t>
        </is>
      </c>
      <c r="C245" t="inlineStr">
        <is>
          <t>Avverkning för att bevara och utveckla /försöksver</t>
        </is>
      </c>
      <c r="D245" s="1" t="n">
        <v>45961</v>
      </c>
      <c r="E245" s="1" t="n">
        <v>46284</v>
      </c>
      <c r="F245" t="inlineStr">
        <is>
          <t>NORRBOTTENS LÄN</t>
        </is>
      </c>
      <c r="G245" t="inlineStr">
        <is>
          <t>ÄLVSBYN</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6275-2024</t>
        </is>
      </c>
      <c r="B246" t="inlineStr">
        <is>
          <t>avverkningsanmälan</t>
        </is>
      </c>
      <c r="C246" t="inlineStr">
        <is>
          <t>Föryngringsavverkning</t>
        </is>
      </c>
      <c r="D246" s="1" t="n">
        <v>45337</v>
      </c>
      <c r="E246" s="1" t="n">
        <v>46284</v>
      </c>
      <c r="F246" t="inlineStr">
        <is>
          <t>NORRBOTTENS LÄN</t>
        </is>
      </c>
      <c r="G246" t="inlineStr">
        <is>
          <t>ÄLVSBYN</t>
        </is>
      </c>
      <c r="H246" t="inlineStr">
        <is>
          <t>SCA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1238-2024</t>
        </is>
      </c>
      <c r="B247" t="inlineStr">
        <is>
          <t>avverkningsanmälan</t>
        </is>
      </c>
      <c r="C247" t="inlineStr">
        <is>
          <t>Föryngringsavverkning</t>
        </is>
      </c>
      <c r="D247" s="1" t="n">
        <v>45302</v>
      </c>
      <c r="E247" s="1" t="n">
        <v>46284</v>
      </c>
      <c r="F247" t="inlineStr">
        <is>
          <t>NORRBOTTENS LÄN</t>
        </is>
      </c>
      <c r="G247" t="inlineStr">
        <is>
          <t>ÄLVSBYN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51981-2022</t>
        </is>
      </c>
      <c r="B248" t="inlineStr">
        <is>
          <t>avverkningsanmälan</t>
        </is>
      </c>
      <c r="C248" t="inlineStr">
        <is>
          <t>Föryngringsavverkning</t>
        </is>
      </c>
      <c r="D248" s="1" t="n">
        <v>44872</v>
      </c>
      <c r="E248" s="1" t="n">
        <v>46284</v>
      </c>
      <c r="F248" t="inlineStr">
        <is>
          <t>NORRBOTTENS LÄN</t>
        </is>
      </c>
      <c r="G248" t="inlineStr">
        <is>
          <t>ÄLVSBYN</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58321-2024</t>
        </is>
      </c>
      <c r="B249" t="inlineStr">
        <is>
          <t>avverkningsanmälan</t>
        </is>
      </c>
      <c r="C249" t="inlineStr">
        <is>
          <t>Föryngringsavverkning</t>
        </is>
      </c>
      <c r="D249" s="1" t="n">
        <v>45632</v>
      </c>
      <c r="E249" s="1" t="n">
        <v>46284</v>
      </c>
      <c r="F249" t="inlineStr">
        <is>
          <t>NORRBOTTENS LÄN</t>
        </is>
      </c>
      <c r="G249" t="inlineStr">
        <is>
          <t>ÄLVSBYN</t>
        </is>
      </c>
      <c r="I249" t="n">
        <v>22.1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50746-2021</t>
        </is>
      </c>
      <c r="B250" t="inlineStr">
        <is>
          <t>avverkningsanmälan</t>
        </is>
      </c>
      <c r="C250" t="inlineStr">
        <is>
          <t>Föryngringsavverkning</t>
        </is>
      </c>
      <c r="D250" s="1" t="n">
        <v>44460</v>
      </c>
      <c r="E250" s="1" t="n">
        <v>46284</v>
      </c>
      <c r="F250" t="inlineStr">
        <is>
          <t>NORRBOTTENS LÄN</t>
        </is>
      </c>
      <c r="G250" t="inlineStr">
        <is>
          <t>ÄLVSBYN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48163-2025</t>
        </is>
      </c>
      <c r="B251" t="inlineStr">
        <is>
          <t>avverkningsanmälan</t>
        </is>
      </c>
      <c r="C251" t="inlineStr">
        <is>
          <t>Föryngringsavverkning</t>
        </is>
      </c>
      <c r="D251" s="1" t="n">
        <v>45933</v>
      </c>
      <c r="E251" s="1" t="n">
        <v>46284</v>
      </c>
      <c r="F251" t="inlineStr">
        <is>
          <t>NORRBOTTENS LÄN</t>
        </is>
      </c>
      <c r="G251" t="inlineStr">
        <is>
          <t>ÄLVSBYN</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63793-2025</t>
        </is>
      </c>
      <c r="B252" t="inlineStr">
        <is>
          <t>avverkningsanmälan</t>
        </is>
      </c>
      <c r="C252" t="inlineStr">
        <is>
          <t>Föryngringsavverkning</t>
        </is>
      </c>
      <c r="D252" s="1" t="n">
        <v>46019</v>
      </c>
      <c r="E252" s="1" t="n">
        <v>46284</v>
      </c>
      <c r="F252" t="inlineStr">
        <is>
          <t>NORRBOTTENS LÄN</t>
        </is>
      </c>
      <c r="G252" t="inlineStr">
        <is>
          <t>ÄLVSBYN</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63794-2025</t>
        </is>
      </c>
      <c r="B253" t="inlineStr">
        <is>
          <t>avverkningsanmälan</t>
        </is>
      </c>
      <c r="C253" t="inlineStr">
        <is>
          <t>Föryngringsavverkning</t>
        </is>
      </c>
      <c r="D253" s="1" t="n">
        <v>46019</v>
      </c>
      <c r="E253" s="1" t="n">
        <v>46284</v>
      </c>
      <c r="F253" t="inlineStr">
        <is>
          <t>NORRBOTTENS LÄN</t>
        </is>
      </c>
      <c r="G253" t="inlineStr">
        <is>
          <t>ÄLVSBYN</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63795-2025</t>
        </is>
      </c>
      <c r="B254" t="inlineStr">
        <is>
          <t>avverkningsanmälan</t>
        </is>
      </c>
      <c r="C254" t="inlineStr">
        <is>
          <t>Föryngringsavverkning</t>
        </is>
      </c>
      <c r="D254" s="1" t="n">
        <v>46019</v>
      </c>
      <c r="E254" s="1" t="n">
        <v>46284</v>
      </c>
      <c r="F254" t="inlineStr">
        <is>
          <t>NORRBOTTENS LÄN</t>
        </is>
      </c>
      <c r="G254" t="inlineStr">
        <is>
          <t>ÄLVSBYN</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4929-2025</t>
        </is>
      </c>
      <c r="B255" t="inlineStr">
        <is>
          <t>avverkningsanmälan</t>
        </is>
      </c>
      <c r="C255" t="inlineStr">
        <is>
          <t>Föryngringsavverkning</t>
        </is>
      </c>
      <c r="D255" s="1" t="n">
        <v>45688</v>
      </c>
      <c r="E255" s="1" t="n">
        <v>46284</v>
      </c>
      <c r="F255" t="inlineStr">
        <is>
          <t>NORRBOTTENS LÄN</t>
        </is>
      </c>
      <c r="G255" t="inlineStr">
        <is>
          <t>ÄLVSBYN</t>
        </is>
      </c>
      <c r="I255" t="n">
        <v>11.2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38999-2024</t>
        </is>
      </c>
      <c r="B256" t="inlineStr">
        <is>
          <t>avverkningsanmälan</t>
        </is>
      </c>
      <c r="C256" t="inlineStr">
        <is>
          <t>Föryngringsavverkning</t>
        </is>
      </c>
      <c r="D256" s="1" t="n">
        <v>45548</v>
      </c>
      <c r="E256" s="1" t="n">
        <v>46284</v>
      </c>
      <c r="F256" t="inlineStr">
        <is>
          <t>NORRBOTTENS LÄN</t>
        </is>
      </c>
      <c r="G256" t="inlineStr">
        <is>
          <t>ÄLVSBYN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53644-2025</t>
        </is>
      </c>
      <c r="B257" t="inlineStr">
        <is>
          <t>avverkningsanmälan</t>
        </is>
      </c>
      <c r="C257" t="inlineStr">
        <is>
          <t>Föryngringsavverkning</t>
        </is>
      </c>
      <c r="D257" s="1" t="n">
        <v>45960</v>
      </c>
      <c r="E257" s="1" t="n">
        <v>46284</v>
      </c>
      <c r="F257" t="inlineStr">
        <is>
          <t>NORRBOTTENS LÄN</t>
        </is>
      </c>
      <c r="G257" t="inlineStr">
        <is>
          <t>ÄLVSBYN</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10249-2024</t>
        </is>
      </c>
      <c r="B258" t="inlineStr">
        <is>
          <t>avverkningsanmälan</t>
        </is>
      </c>
      <c r="C258" t="inlineStr">
        <is>
          <t>Föryngringsavverkning</t>
        </is>
      </c>
      <c r="D258" s="1" t="n">
        <v>45365</v>
      </c>
      <c r="E258" s="1" t="n">
        <v>46284</v>
      </c>
      <c r="F258" t="inlineStr">
        <is>
          <t>NORRBOTTENS LÄN</t>
        </is>
      </c>
      <c r="G258" t="inlineStr">
        <is>
          <t>ÄLVSBYN</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24982-2026</t>
        </is>
      </c>
      <c r="B259" t="inlineStr">
        <is>
          <t>avverkningsanmälan</t>
        </is>
      </c>
      <c r="C259" t="inlineStr">
        <is>
          <t>Föryngringsavverkning</t>
        </is>
      </c>
      <c r="D259" s="1" t="n">
        <v>46174</v>
      </c>
      <c r="E259" s="1" t="n">
        <v>46284</v>
      </c>
      <c r="F259" t="inlineStr">
        <is>
          <t>NORRBOTTENS LÄN</t>
        </is>
      </c>
      <c r="G259" t="inlineStr">
        <is>
          <t>ÄLVSBYN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1486-2024</t>
        </is>
      </c>
      <c r="B260" t="inlineStr">
        <is>
          <t>avverkningsanmälan</t>
        </is>
      </c>
      <c r="C260" t="inlineStr">
        <is>
          <t>Avverkning för annat ändamål</t>
        </is>
      </c>
      <c r="D260" s="1" t="n">
        <v>45305</v>
      </c>
      <c r="E260" s="1" t="n">
        <v>46284</v>
      </c>
      <c r="F260" t="inlineStr">
        <is>
          <t>NORRBOTTENS LÄN</t>
        </is>
      </c>
      <c r="G260" t="inlineStr">
        <is>
          <t>ÄLVSBYN</t>
        </is>
      </c>
      <c r="I260" t="n">
        <v>92.09999999999999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2751-2022</t>
        </is>
      </c>
      <c r="B261" t="inlineStr">
        <is>
          <t>avverkningsanmälan</t>
        </is>
      </c>
      <c r="C261" t="inlineStr">
        <is>
          <t>Föryngringsavverkning</t>
        </is>
      </c>
      <c r="D261" s="1" t="n">
        <v>44580</v>
      </c>
      <c r="E261" s="1" t="n">
        <v>46284</v>
      </c>
      <c r="F261" t="inlineStr">
        <is>
          <t>NORRBOTTENS LÄN</t>
        </is>
      </c>
      <c r="G261" t="inlineStr">
        <is>
          <t>ÄLVSBYN</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52327-2022</t>
        </is>
      </c>
      <c r="B262" t="inlineStr">
        <is>
          <t>avverkningsanmälan</t>
        </is>
      </c>
      <c r="C262" t="inlineStr">
        <is>
          <t>Föryngringsavverkning</t>
        </is>
      </c>
      <c r="D262" s="1" t="n">
        <v>44873</v>
      </c>
      <c r="E262" s="1" t="n">
        <v>46284</v>
      </c>
      <c r="F262" t="inlineStr">
        <is>
          <t>NORRBOTTENS LÄN</t>
        </is>
      </c>
      <c r="G262" t="inlineStr">
        <is>
          <t>ÄLVSBYN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46308-2022</t>
        </is>
      </c>
      <c r="B263" t="inlineStr">
        <is>
          <t>avverkningsanmälan</t>
        </is>
      </c>
      <c r="C263" t="inlineStr">
        <is>
          <t>Avverkning för annat ändamål</t>
        </is>
      </c>
      <c r="D263" s="1" t="n">
        <v>44847</v>
      </c>
      <c r="E263" s="1" t="n">
        <v>46284</v>
      </c>
      <c r="F263" t="inlineStr">
        <is>
          <t>NORRBOTTENS LÄN</t>
        </is>
      </c>
      <c r="G263" t="inlineStr">
        <is>
          <t>ÄLVSBYN</t>
        </is>
      </c>
      <c r="I263" t="n">
        <v>18.7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5333-2026</t>
        </is>
      </c>
      <c r="B264" t="inlineStr">
        <is>
          <t>avverkningsanmälan</t>
        </is>
      </c>
      <c r="C264" t="inlineStr">
        <is>
          <t>Föryngringsavverkning</t>
        </is>
      </c>
      <c r="D264" s="1" t="n">
        <v>46050</v>
      </c>
      <c r="E264" s="1" t="n">
        <v>46284</v>
      </c>
      <c r="F264" t="inlineStr">
        <is>
          <t>NORRBOTTENS LÄN</t>
        </is>
      </c>
      <c r="G264" t="inlineStr">
        <is>
          <t>ÄLVSBYN</t>
        </is>
      </c>
      <c r="H264" t="inlineStr">
        <is>
          <t>SCA</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25364-2026</t>
        </is>
      </c>
      <c r="B265" t="inlineStr">
        <is>
          <t>avverkningsanmälan</t>
        </is>
      </c>
      <c r="C265" t="inlineStr">
        <is>
          <t>Föryngringsavverkning</t>
        </is>
      </c>
      <c r="D265" s="1" t="n">
        <v>46176</v>
      </c>
      <c r="E265" s="1" t="n">
        <v>46284</v>
      </c>
      <c r="F265" t="inlineStr">
        <is>
          <t>NORRBOTTENS LÄN</t>
        </is>
      </c>
      <c r="G265" t="inlineStr">
        <is>
          <t>ÄLVSBYN</t>
        </is>
      </c>
      <c r="H265" t="inlineStr">
        <is>
          <t>SCA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7266-2024</t>
        </is>
      </c>
      <c r="B266" t="inlineStr">
        <is>
          <t>avverkningsanmälan</t>
        </is>
      </c>
      <c r="C266" t="inlineStr">
        <is>
          <t>Föryngringsavverkning</t>
        </is>
      </c>
      <c r="D266" s="1" t="n">
        <v>45344</v>
      </c>
      <c r="E266" s="1" t="n">
        <v>46284</v>
      </c>
      <c r="F266" t="inlineStr">
        <is>
          <t>NORRBOTTENS LÄN</t>
        </is>
      </c>
      <c r="G266" t="inlineStr">
        <is>
          <t>ÄLVSBYN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6366-2026</t>
        </is>
      </c>
      <c r="B267" t="inlineStr">
        <is>
          <t>avverkningsanmälan</t>
        </is>
      </c>
      <c r="C267" t="inlineStr">
        <is>
          <t>Föryngringsavverkning</t>
        </is>
      </c>
      <c r="D267" s="1" t="n">
        <v>46055</v>
      </c>
      <c r="E267" s="1" t="n">
        <v>46284</v>
      </c>
      <c r="F267" t="inlineStr">
        <is>
          <t>NORRBOTTENS LÄN</t>
        </is>
      </c>
      <c r="G267" t="inlineStr">
        <is>
          <t>ÄLVSBYN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25575-2026</t>
        </is>
      </c>
      <c r="B268" t="inlineStr">
        <is>
          <t>avverkningsanmälan</t>
        </is>
      </c>
      <c r="C268" t="inlineStr">
        <is>
          <t>Föryngringsavverkning</t>
        </is>
      </c>
      <c r="D268" s="1" t="n">
        <v>46177</v>
      </c>
      <c r="E268" s="1" t="n">
        <v>46284</v>
      </c>
      <c r="F268" t="inlineStr">
        <is>
          <t>NORRBOTTENS LÄN</t>
        </is>
      </c>
      <c r="G268" t="inlineStr">
        <is>
          <t>ÄLVSBYN</t>
        </is>
      </c>
      <c r="H268" t="inlineStr">
        <is>
          <t>Sveaskog</t>
        </is>
      </c>
      <c r="I268" t="n">
        <v>12.8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26727-2024</t>
        </is>
      </c>
      <c r="B269" t="inlineStr">
        <is>
          <t>avverkningsanmälan</t>
        </is>
      </c>
      <c r="C269" t="inlineStr">
        <is>
          <t>Föryngringsavverkning</t>
        </is>
      </c>
      <c r="D269" s="1" t="n">
        <v>45470</v>
      </c>
      <c r="E269" s="1" t="n">
        <v>46284</v>
      </c>
      <c r="F269" t="inlineStr">
        <is>
          <t>NORRBOTTENS LÄN</t>
        </is>
      </c>
      <c r="G269" t="inlineStr">
        <is>
          <t>ÄLVSBYN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42477-2024</t>
        </is>
      </c>
      <c r="B270" t="inlineStr">
        <is>
          <t>avverkningsanmälan</t>
        </is>
      </c>
      <c r="C270" t="inlineStr">
        <is>
          <t>Avverkning för annat ändamål</t>
        </is>
      </c>
      <c r="D270" s="1" t="n">
        <v>45565</v>
      </c>
      <c r="E270" s="1" t="n">
        <v>46284</v>
      </c>
      <c r="F270" t="inlineStr">
        <is>
          <t>NORRBOTTENS LÄN</t>
        </is>
      </c>
      <c r="G270" t="inlineStr">
        <is>
          <t>ÄLVSBYN</t>
        </is>
      </c>
      <c r="H270" t="inlineStr">
        <is>
          <t>SCA</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42558-2024</t>
        </is>
      </c>
      <c r="B271" t="inlineStr">
        <is>
          <t>avverkningsanmälan</t>
        </is>
      </c>
      <c r="C271" t="inlineStr">
        <is>
          <t>Föryngringsavverkning</t>
        </is>
      </c>
      <c r="D271" s="1" t="n">
        <v>45565</v>
      </c>
      <c r="E271" s="1" t="n">
        <v>46284</v>
      </c>
      <c r="F271" t="inlineStr">
        <is>
          <t>NORRBOTTENS LÄN</t>
        </is>
      </c>
      <c r="G271" t="inlineStr">
        <is>
          <t>ÄLVSBYN</t>
        </is>
      </c>
      <c r="H271" t="inlineStr">
        <is>
          <t>Sveaskog</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25420-2024</t>
        </is>
      </c>
      <c r="B272" t="inlineStr">
        <is>
          <t>avverkningsanmälan</t>
        </is>
      </c>
      <c r="C272" t="inlineStr">
        <is>
          <t>Avverkning för annat ändamål</t>
        </is>
      </c>
      <c r="D272" s="1" t="n">
        <v>45463</v>
      </c>
      <c r="E272" s="1" t="n">
        <v>46284</v>
      </c>
      <c r="F272" t="inlineStr">
        <is>
          <t>NORRBOTTENS LÄN</t>
        </is>
      </c>
      <c r="G272" t="inlineStr">
        <is>
          <t>ÄLVSBYN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26244-2026</t>
        </is>
      </c>
      <c r="B273" t="inlineStr">
        <is>
          <t>avverkningsanmälan</t>
        </is>
      </c>
      <c r="C273" t="inlineStr">
        <is>
          <t>Föryngringsavverkning</t>
        </is>
      </c>
      <c r="D273" s="1" t="n">
        <v>46182</v>
      </c>
      <c r="E273" s="1" t="n">
        <v>46284</v>
      </c>
      <c r="F273" t="inlineStr">
        <is>
          <t>NORRBOTTENS LÄN</t>
        </is>
      </c>
      <c r="G273" t="inlineStr">
        <is>
          <t>ÄLVSBYN</t>
        </is>
      </c>
      <c r="I273" t="n">
        <v>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26514-2026</t>
        </is>
      </c>
      <c r="B274" t="inlineStr">
        <is>
          <t>avverkningsanmälan</t>
        </is>
      </c>
      <c r="C274" t="inlineStr">
        <is>
          <t>Föryngringsavverkning</t>
        </is>
      </c>
      <c r="D274" s="1" t="n">
        <v>46183</v>
      </c>
      <c r="E274" s="1" t="n">
        <v>46284</v>
      </c>
      <c r="F274" t="inlineStr">
        <is>
          <t>NORRBOTTENS LÄN</t>
        </is>
      </c>
      <c r="G274" t="inlineStr">
        <is>
          <t>ÄLVSBYN</t>
        </is>
      </c>
      <c r="H274" t="inlineStr">
        <is>
          <t>Sveaskog</t>
        </is>
      </c>
      <c r="I274" t="n">
        <v>46.6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29638-2023</t>
        </is>
      </c>
      <c r="B275" t="inlineStr">
        <is>
          <t>avverkningsanmälan</t>
        </is>
      </c>
      <c r="C275" t="inlineStr">
        <is>
          <t>Föryngringsavverkning</t>
        </is>
      </c>
      <c r="D275" s="1" t="n">
        <v>45098</v>
      </c>
      <c r="E275" s="1" t="n">
        <v>46284</v>
      </c>
      <c r="F275" t="inlineStr">
        <is>
          <t>NORRBOTTENS LÄN</t>
        </is>
      </c>
      <c r="G275" t="inlineStr">
        <is>
          <t>ÄLVSBYN</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26810-2026</t>
        </is>
      </c>
      <c r="B276" t="inlineStr">
        <is>
          <t>avverkningsanmälan</t>
        </is>
      </c>
      <c r="C276" t="inlineStr">
        <is>
          <t>Föryngringsavverkning</t>
        </is>
      </c>
      <c r="D276" s="1" t="n">
        <v>46185</v>
      </c>
      <c r="E276" s="1" t="n">
        <v>46284</v>
      </c>
      <c r="F276" t="inlineStr">
        <is>
          <t>NORRBOTTENS LÄN</t>
        </is>
      </c>
      <c r="G276" t="inlineStr">
        <is>
          <t>ÄLVSBYN</t>
        </is>
      </c>
      <c r="H276" t="inlineStr">
        <is>
          <t>SCA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404-2024</t>
        </is>
      </c>
      <c r="B277" t="inlineStr">
        <is>
          <t>avverkningsanmälan</t>
        </is>
      </c>
      <c r="C277" t="inlineStr">
        <is>
          <t>Föryngringsavverkning</t>
        </is>
      </c>
      <c r="D277" s="1" t="n">
        <v>45296</v>
      </c>
      <c r="E277" s="1" t="n">
        <v>46284</v>
      </c>
      <c r="F277" t="inlineStr">
        <is>
          <t>NORRBOTTENS LÄN</t>
        </is>
      </c>
      <c r="G277" t="inlineStr">
        <is>
          <t>ÄLVSBYN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27445-2026</t>
        </is>
      </c>
      <c r="B278" t="inlineStr">
        <is>
          <t>avverkningsanmälan</t>
        </is>
      </c>
      <c r="C278" t="inlineStr">
        <is>
          <t>Föryngringsavverkning</t>
        </is>
      </c>
      <c r="D278" s="1" t="n">
        <v>46189</v>
      </c>
      <c r="E278" s="1" t="n">
        <v>46284</v>
      </c>
      <c r="F278" t="inlineStr">
        <is>
          <t>NORRBOTTENS LÄN</t>
        </is>
      </c>
      <c r="G278" t="inlineStr">
        <is>
          <t>ÄLVSBYN</t>
        </is>
      </c>
      <c r="H278" t="inlineStr">
        <is>
          <t>SCA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27783-2026</t>
        </is>
      </c>
      <c r="B279" t="inlineStr">
        <is>
          <t>avverkningsanmälan</t>
        </is>
      </c>
      <c r="C279" t="inlineStr">
        <is>
          <t>Föryngringsavverkning</t>
        </is>
      </c>
      <c r="D279" s="1" t="n">
        <v>46191</v>
      </c>
      <c r="E279" s="1" t="n">
        <v>46284</v>
      </c>
      <c r="F279" t="inlineStr">
        <is>
          <t>NORRBOTTENS LÄN</t>
        </is>
      </c>
      <c r="G279" t="inlineStr">
        <is>
          <t>ÄLVSBYN</t>
        </is>
      </c>
      <c r="I279" t="n">
        <v>12.7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27784-2026</t>
        </is>
      </c>
      <c r="B280" t="inlineStr">
        <is>
          <t>avverkningsanmälan</t>
        </is>
      </c>
      <c r="C280" t="inlineStr">
        <is>
          <t>Föryngringsavverkning</t>
        </is>
      </c>
      <c r="D280" s="1" t="n">
        <v>46191</v>
      </c>
      <c r="E280" s="1" t="n">
        <v>46284</v>
      </c>
      <c r="F280" t="inlineStr">
        <is>
          <t>NORRBOTTENS LÄN</t>
        </is>
      </c>
      <c r="G280" t="inlineStr">
        <is>
          <t>ÄLVSBYN</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27796-2026</t>
        </is>
      </c>
      <c r="B281" t="inlineStr">
        <is>
          <t>avverkningsanmälan</t>
        </is>
      </c>
      <c r="C281" t="inlineStr">
        <is>
          <t>Föryngringsavverkning</t>
        </is>
      </c>
      <c r="D281" s="1" t="n">
        <v>46191</v>
      </c>
      <c r="E281" s="1" t="n">
        <v>46284</v>
      </c>
      <c r="F281" t="inlineStr">
        <is>
          <t>NORRBOTTENS LÄN</t>
        </is>
      </c>
      <c r="G281" t="inlineStr">
        <is>
          <t>ÄLVSBYN</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27788-2026</t>
        </is>
      </c>
      <c r="B282" t="inlineStr">
        <is>
          <t>avverkningsanmälan</t>
        </is>
      </c>
      <c r="C282" t="inlineStr">
        <is>
          <t>Föryngringsavverkning</t>
        </is>
      </c>
      <c r="D282" s="1" t="n">
        <v>46191</v>
      </c>
      <c r="E282" s="1" t="n">
        <v>46284</v>
      </c>
      <c r="F282" t="inlineStr">
        <is>
          <t>NORRBOTTENS LÄN</t>
        </is>
      </c>
      <c r="G282" t="inlineStr">
        <is>
          <t>ÄLVSBYN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4128-2023</t>
        </is>
      </c>
      <c r="B283" t="inlineStr">
        <is>
          <t>avverkningsanmälan</t>
        </is>
      </c>
      <c r="C283" t="inlineStr">
        <is>
          <t>Föryngringsavverkning</t>
        </is>
      </c>
      <c r="D283" s="1" t="n">
        <v>44952</v>
      </c>
      <c r="E283" s="1" t="n">
        <v>46284</v>
      </c>
      <c r="F283" t="inlineStr">
        <is>
          <t>NORRBOTTENS LÄN</t>
        </is>
      </c>
      <c r="G283" t="inlineStr">
        <is>
          <t>ÄLVSBYN</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27833-2026</t>
        </is>
      </c>
      <c r="B284" t="inlineStr">
        <is>
          <t>avverkningsanmälan</t>
        </is>
      </c>
      <c r="C284" t="inlineStr">
        <is>
          <t>Föryngringsavverkning</t>
        </is>
      </c>
      <c r="D284" s="1" t="n">
        <v>46191</v>
      </c>
      <c r="E284" s="1" t="n">
        <v>46284</v>
      </c>
      <c r="F284" t="inlineStr">
        <is>
          <t>NORRBOTTENS LÄN</t>
        </is>
      </c>
      <c r="G284" t="inlineStr">
        <is>
          <t>ÄLVSBYN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27770-2026</t>
        </is>
      </c>
      <c r="B285" t="inlineStr">
        <is>
          <t>avverkningsanmälan</t>
        </is>
      </c>
      <c r="C285" t="inlineStr">
        <is>
          <t>Föryngringsavverkning</t>
        </is>
      </c>
      <c r="D285" s="1" t="n">
        <v>46191</v>
      </c>
      <c r="E285" s="1" t="n">
        <v>46284</v>
      </c>
      <c r="F285" t="inlineStr">
        <is>
          <t>NORRBOTTENS LÄN</t>
        </is>
      </c>
      <c r="G285" t="inlineStr">
        <is>
          <t>ÄLVSBYN</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39668-2024</t>
        </is>
      </c>
      <c r="B286" t="inlineStr">
        <is>
          <t>avverkningsanmälan</t>
        </is>
      </c>
      <c r="C286" t="inlineStr">
        <is>
          <t>Föryngringsavverkning</t>
        </is>
      </c>
      <c r="D286" s="1" t="n">
        <v>45552</v>
      </c>
      <c r="E286" s="1" t="n">
        <v>46284</v>
      </c>
      <c r="F286" t="inlineStr">
        <is>
          <t>NORRBOTTENS LÄN</t>
        </is>
      </c>
      <c r="G286" t="inlineStr">
        <is>
          <t>ÄLVSBYN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28390-2026</t>
        </is>
      </c>
      <c r="B287" t="inlineStr">
        <is>
          <t>avverkningsanmälan</t>
        </is>
      </c>
      <c r="C287" t="inlineStr">
        <is>
          <t>Föryngringsavverkning</t>
        </is>
      </c>
      <c r="D287" s="1" t="n">
        <v>46196</v>
      </c>
      <c r="E287" s="1" t="n">
        <v>46284</v>
      </c>
      <c r="F287" t="inlineStr">
        <is>
          <t>NORRBOTTENS LÄN</t>
        </is>
      </c>
      <c r="G287" t="inlineStr">
        <is>
          <t>ÄLVSBYN</t>
        </is>
      </c>
      <c r="I287" t="n">
        <v>10.5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15415-2026</t>
        </is>
      </c>
      <c r="B288" t="inlineStr">
        <is>
          <t>avverkningsanmälan</t>
        </is>
      </c>
      <c r="C288" t="inlineStr">
        <is>
          <t>Föryngringsavverkning</t>
        </is>
      </c>
      <c r="D288" s="1" t="n">
        <v>46106</v>
      </c>
      <c r="E288" s="1" t="n">
        <v>46284</v>
      </c>
      <c r="F288" t="inlineStr">
        <is>
          <t>NORRBOTTENS LÄN</t>
        </is>
      </c>
      <c r="G288" t="inlineStr">
        <is>
          <t>ÄLVSBYN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15465-2026</t>
        </is>
      </c>
      <c r="B289" t="inlineStr">
        <is>
          <t>avverkningsanmälan</t>
        </is>
      </c>
      <c r="C289" t="inlineStr">
        <is>
          <t>Föryngringsavverkning</t>
        </is>
      </c>
      <c r="D289" s="1" t="n">
        <v>46106</v>
      </c>
      <c r="E289" s="1" t="n">
        <v>46284</v>
      </c>
      <c r="F289" t="inlineStr">
        <is>
          <t>NORRBOTTENS LÄN</t>
        </is>
      </c>
      <c r="G289" t="inlineStr">
        <is>
          <t>ÄLVSBYN</t>
        </is>
      </c>
      <c r="H289" t="inlineStr">
        <is>
          <t>SCA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9618-2022</t>
        </is>
      </c>
      <c r="B290" t="inlineStr">
        <is>
          <t>avverkningsanmälan</t>
        </is>
      </c>
      <c r="C290" t="inlineStr">
        <is>
          <t>Föryngringsavverkning</t>
        </is>
      </c>
      <c r="D290" s="1" t="n">
        <v>44617</v>
      </c>
      <c r="E290" s="1" t="n">
        <v>46284</v>
      </c>
      <c r="F290" t="inlineStr">
        <is>
          <t>NORRBOTTENS LÄN</t>
        </is>
      </c>
      <c r="G290" t="inlineStr">
        <is>
          <t>ÄLVSBYN</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28670-2026</t>
        </is>
      </c>
      <c r="B291" t="inlineStr">
        <is>
          <t>avverkningsanmälan</t>
        </is>
      </c>
      <c r="C291" t="inlineStr">
        <is>
          <t>Föryngringsavverkning</t>
        </is>
      </c>
      <c r="D291" s="1" t="n">
        <v>46198</v>
      </c>
      <c r="E291" s="1" t="n">
        <v>46284</v>
      </c>
      <c r="F291" t="inlineStr">
        <is>
          <t>NORRBOTTENS LÄN</t>
        </is>
      </c>
      <c r="G291" t="inlineStr">
        <is>
          <t>ÄLVSBYN</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28764-2026</t>
        </is>
      </c>
      <c r="B292" t="inlineStr">
        <is>
          <t>avverkningsanmälan</t>
        </is>
      </c>
      <c r="C292" t="inlineStr">
        <is>
          <t>Föryngringsavverkning</t>
        </is>
      </c>
      <c r="D292" s="1" t="n">
        <v>46198</v>
      </c>
      <c r="E292" s="1" t="n">
        <v>46284</v>
      </c>
      <c r="F292" t="inlineStr">
        <is>
          <t>NORRBOTTENS LÄN</t>
        </is>
      </c>
      <c r="G292" t="inlineStr">
        <is>
          <t>ÄLVSBYN</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28571-2026</t>
        </is>
      </c>
      <c r="B293" t="inlineStr">
        <is>
          <t>avverkningsanmälan</t>
        </is>
      </c>
      <c r="C293" t="inlineStr">
        <is>
          <t>Föryngringsavverkning</t>
        </is>
      </c>
      <c r="D293" s="1" t="n">
        <v>46197</v>
      </c>
      <c r="E293" s="1" t="n">
        <v>46284</v>
      </c>
      <c r="F293" t="inlineStr">
        <is>
          <t>NORRBOTTENS LÄN</t>
        </is>
      </c>
      <c r="G293" t="inlineStr">
        <is>
          <t>ÄLVSBYN</t>
        </is>
      </c>
      <c r="H293" t="inlineStr">
        <is>
          <t>SCA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15410-2026</t>
        </is>
      </c>
      <c r="B294" t="inlineStr">
        <is>
          <t>avverkningsanmälan</t>
        </is>
      </c>
      <c r="C294" t="inlineStr">
        <is>
          <t>Föryngringsavverkning</t>
        </is>
      </c>
      <c r="D294" s="1" t="n">
        <v>46106</v>
      </c>
      <c r="E294" s="1" t="n">
        <v>46284</v>
      </c>
      <c r="F294" t="inlineStr">
        <is>
          <t>NORRBOTTENS LÄN</t>
        </is>
      </c>
      <c r="G294" t="inlineStr">
        <is>
          <t>ÄLVSBYN</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59553-2021</t>
        </is>
      </c>
      <c r="B295" t="inlineStr">
        <is>
          <t>avverkningsanmälan</t>
        </is>
      </c>
      <c r="C295" t="inlineStr">
        <is>
          <t>Föryngringsavverkning</t>
        </is>
      </c>
      <c r="D295" s="1" t="n">
        <v>44491</v>
      </c>
      <c r="E295" s="1" t="n">
        <v>46284</v>
      </c>
      <c r="F295" t="inlineStr">
        <is>
          <t>NORRBOTTENS LÄN</t>
        </is>
      </c>
      <c r="G295" t="inlineStr">
        <is>
          <t>ÄLVSBYN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28498-2026</t>
        </is>
      </c>
      <c r="B296" t="inlineStr">
        <is>
          <t>avverkningsanmälan</t>
        </is>
      </c>
      <c r="C296" t="inlineStr">
        <is>
          <t>Föryngringsavverkning</t>
        </is>
      </c>
      <c r="D296" s="1" t="n">
        <v>46197</v>
      </c>
      <c r="E296" s="1" t="n">
        <v>46284</v>
      </c>
      <c r="F296" t="inlineStr">
        <is>
          <t>NORRBOTTENS LÄN</t>
        </is>
      </c>
      <c r="G296" t="inlineStr">
        <is>
          <t>ÄLVSBYN</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28506-2026</t>
        </is>
      </c>
      <c r="B297" t="inlineStr">
        <is>
          <t>avverkningsanmälan</t>
        </is>
      </c>
      <c r="C297" t="inlineStr">
        <is>
          <t>Föryngringsavverkning</t>
        </is>
      </c>
      <c r="D297" s="1" t="n">
        <v>46197</v>
      </c>
      <c r="E297" s="1" t="n">
        <v>46284</v>
      </c>
      <c r="F297" t="inlineStr">
        <is>
          <t>NORRBOTTENS LÄN</t>
        </is>
      </c>
      <c r="G297" t="inlineStr">
        <is>
          <t>ÄLVSBYN</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28591-2026</t>
        </is>
      </c>
      <c r="B298" t="inlineStr">
        <is>
          <t>avverkningsanmälan</t>
        </is>
      </c>
      <c r="C298" t="inlineStr">
        <is>
          <t>Föryngringsavverkning</t>
        </is>
      </c>
      <c r="D298" s="1" t="n">
        <v>46197</v>
      </c>
      <c r="E298" s="1" t="n">
        <v>46284</v>
      </c>
      <c r="F298" t="inlineStr">
        <is>
          <t>NORRBOTTENS LÄN</t>
        </is>
      </c>
      <c r="G298" t="inlineStr">
        <is>
          <t>ÄLVSBYN</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32202-2024</t>
        </is>
      </c>
      <c r="B299" t="inlineStr">
        <is>
          <t>avverkningsanmälan</t>
        </is>
      </c>
      <c r="C299" t="inlineStr">
        <is>
          <t>Föryngringsavverkning</t>
        </is>
      </c>
      <c r="D299" s="1" t="n">
        <v>45511</v>
      </c>
      <c r="E299" s="1" t="n">
        <v>46284</v>
      </c>
      <c r="F299" t="inlineStr">
        <is>
          <t>NORRBOTTENS LÄN</t>
        </is>
      </c>
      <c r="G299" t="inlineStr">
        <is>
          <t>ÄLVSBYN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63954-2023</t>
        </is>
      </c>
      <c r="B300" t="inlineStr">
        <is>
          <t>avverkningsanmälan</t>
        </is>
      </c>
      <c r="C300" t="inlineStr">
        <is>
          <t>Föryngringsavverkning</t>
        </is>
      </c>
      <c r="D300" s="1" t="n">
        <v>45278</v>
      </c>
      <c r="E300" s="1" t="n">
        <v>46284</v>
      </c>
      <c r="F300" t="inlineStr">
        <is>
          <t>NORRBOTTENS LÄN</t>
        </is>
      </c>
      <c r="G300" t="inlineStr">
        <is>
          <t>ÄLVSBYN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28682-2026</t>
        </is>
      </c>
      <c r="B301" t="inlineStr">
        <is>
          <t>avverkningsanmälan</t>
        </is>
      </c>
      <c r="C301" t="inlineStr">
        <is>
          <t>Föryngringsavverkning</t>
        </is>
      </c>
      <c r="D301" s="1" t="n">
        <v>46198</v>
      </c>
      <c r="E301" s="1" t="n">
        <v>46284</v>
      </c>
      <c r="F301" t="inlineStr">
        <is>
          <t>NORRBOTTENS LÄN</t>
        </is>
      </c>
      <c r="G301" t="inlineStr">
        <is>
          <t>ÄLVSBYN</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58309-2024</t>
        </is>
      </c>
      <c r="B302" t="inlineStr">
        <is>
          <t>avverkningsanmälan</t>
        </is>
      </c>
      <c r="C302" t="inlineStr">
        <is>
          <t>Föryngringsavverkning</t>
        </is>
      </c>
      <c r="D302" s="1" t="n">
        <v>45632</v>
      </c>
      <c r="E302" s="1" t="n">
        <v>46284</v>
      </c>
      <c r="F302" t="inlineStr">
        <is>
          <t>NORRBOTTENS LÄN</t>
        </is>
      </c>
      <c r="G302" t="inlineStr">
        <is>
          <t>ÄLVSBYN</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28585-2026</t>
        </is>
      </c>
      <c r="B303" t="inlineStr">
        <is>
          <t>avverkningsanmälan</t>
        </is>
      </c>
      <c r="C303" t="inlineStr">
        <is>
          <t>Föryngringsavverkning</t>
        </is>
      </c>
      <c r="D303" s="1" t="n">
        <v>46197</v>
      </c>
      <c r="E303" s="1" t="n">
        <v>46284</v>
      </c>
      <c r="F303" t="inlineStr">
        <is>
          <t>NORRBOTTENS LÄN</t>
        </is>
      </c>
      <c r="G303" t="inlineStr">
        <is>
          <t>ÄLVSBYN</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11835-2023</t>
        </is>
      </c>
      <c r="B304" t="inlineStr">
        <is>
          <t>avverkningsanmälan</t>
        </is>
      </c>
      <c r="C304" t="inlineStr">
        <is>
          <t>Föryngringsavverkning</t>
        </is>
      </c>
      <c r="D304" s="1" t="n">
        <v>44994</v>
      </c>
      <c r="E304" s="1" t="n">
        <v>46284</v>
      </c>
      <c r="F304" t="inlineStr">
        <is>
          <t>NORRBOTTENS LÄN</t>
        </is>
      </c>
      <c r="G304" t="inlineStr">
        <is>
          <t>ÄLVSBYN</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29184-2026</t>
        </is>
      </c>
      <c r="B305" t="inlineStr">
        <is>
          <t>avverkningsanmälan</t>
        </is>
      </c>
      <c r="C305" t="inlineStr">
        <is>
          <t>Föryngringsavverkning</t>
        </is>
      </c>
      <c r="D305" s="1" t="n">
        <v>46202</v>
      </c>
      <c r="E305" s="1" t="n">
        <v>46284</v>
      </c>
      <c r="F305" t="inlineStr">
        <is>
          <t>NORRBOTTENS LÄN</t>
        </is>
      </c>
      <c r="G305" t="inlineStr">
        <is>
          <t>ÄLVSBYN</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16641-2026</t>
        </is>
      </c>
      <c r="B306" t="inlineStr">
        <is>
          <t>avverkningsanmälan</t>
        </is>
      </c>
      <c r="C306" t="inlineStr">
        <is>
          <t>Föryngringsavverkning</t>
        </is>
      </c>
      <c r="D306" s="1" t="n">
        <v>46112</v>
      </c>
      <c r="E306" s="1" t="n">
        <v>46284</v>
      </c>
      <c r="F306" t="inlineStr">
        <is>
          <t>NORRBOTTENS LÄN</t>
        </is>
      </c>
      <c r="G306" t="inlineStr">
        <is>
          <t>ÄLVSBYN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28314-2024</t>
        </is>
      </c>
      <c r="B307" t="inlineStr">
        <is>
          <t>avverkningsanmälan</t>
        </is>
      </c>
      <c r="C307" t="inlineStr">
        <is>
          <t>Föryngringsavverkning</t>
        </is>
      </c>
      <c r="D307" s="1" t="n">
        <v>45477</v>
      </c>
      <c r="E307" s="1" t="n">
        <v>46284</v>
      </c>
      <c r="F307" t="inlineStr">
        <is>
          <t>NORRBOTTENS LÄN</t>
        </is>
      </c>
      <c r="G307" t="inlineStr">
        <is>
          <t>ÄLVSBYN</t>
        </is>
      </c>
      <c r="H307" t="inlineStr">
        <is>
          <t>Sveaskog</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60581-2024</t>
        </is>
      </c>
      <c r="B308" t="inlineStr">
        <is>
          <t>avverkningsanmälan</t>
        </is>
      </c>
      <c r="C308" t="inlineStr">
        <is>
          <t>Föryngringsavverkning</t>
        </is>
      </c>
      <c r="D308" s="1" t="n">
        <v>45642</v>
      </c>
      <c r="E308" s="1" t="n">
        <v>46284</v>
      </c>
      <c r="F308" t="inlineStr">
        <is>
          <t>NORRBOTTENS LÄN</t>
        </is>
      </c>
      <c r="G308" t="inlineStr">
        <is>
          <t>ÄLVSBYN</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57067-2025</t>
        </is>
      </c>
      <c r="B309" t="inlineStr">
        <is>
          <t>avverkningsanmälan</t>
        </is>
      </c>
      <c r="C309" t="inlineStr">
        <is>
          <t>Föryngringsavverkning</t>
        </is>
      </c>
      <c r="D309" s="1" t="n">
        <v>45979</v>
      </c>
      <c r="E309" s="1" t="n">
        <v>46284</v>
      </c>
      <c r="F309" t="inlineStr">
        <is>
          <t>NORRBOTTENS LÄN</t>
        </is>
      </c>
      <c r="G309" t="inlineStr">
        <is>
          <t>ÄLVSBYN</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31220-2023</t>
        </is>
      </c>
      <c r="B310" t="inlineStr">
        <is>
          <t>avverkningsanmälan</t>
        </is>
      </c>
      <c r="C310" t="inlineStr">
        <is>
          <t>Föryngringsavverkning</t>
        </is>
      </c>
      <c r="D310" s="1" t="n">
        <v>45114</v>
      </c>
      <c r="E310" s="1" t="n">
        <v>46284</v>
      </c>
      <c r="F310" t="inlineStr">
        <is>
          <t>NORRBOTTENS LÄN</t>
        </is>
      </c>
      <c r="G310" t="inlineStr">
        <is>
          <t>ÄLVSBYN</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29683-2024</t>
        </is>
      </c>
      <c r="B311" t="inlineStr">
        <is>
          <t>avverkningsanmälan</t>
        </is>
      </c>
      <c r="C311" t="inlineStr">
        <is>
          <t>Föryngringsavverkning</t>
        </is>
      </c>
      <c r="D311" s="1" t="n">
        <v>45484</v>
      </c>
      <c r="E311" s="1" t="n">
        <v>46284</v>
      </c>
      <c r="F311" t="inlineStr">
        <is>
          <t>NORRBOTTENS LÄN</t>
        </is>
      </c>
      <c r="G311" t="inlineStr">
        <is>
          <t>ÄLVSBYN</t>
        </is>
      </c>
      <c r="H311" t="inlineStr">
        <is>
          <t>SCA</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17803-2026</t>
        </is>
      </c>
      <c r="B312" t="inlineStr">
        <is>
          <t>avverkningsanmälan</t>
        </is>
      </c>
      <c r="C312" t="inlineStr">
        <is>
          <t>Föryngringsavverkning</t>
        </is>
      </c>
      <c r="D312" s="1" t="n">
        <v>46122</v>
      </c>
      <c r="E312" s="1" t="n">
        <v>46284</v>
      </c>
      <c r="F312" t="inlineStr">
        <is>
          <t>NORRBOTTENS LÄN</t>
        </is>
      </c>
      <c r="G312" t="inlineStr">
        <is>
          <t>ÄLVSBYN</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17808-2026</t>
        </is>
      </c>
      <c r="B313" t="inlineStr">
        <is>
          <t>avverkningsanmälan</t>
        </is>
      </c>
      <c r="C313" t="inlineStr">
        <is>
          <t>Föryngringsavverkning</t>
        </is>
      </c>
      <c r="D313" s="1" t="n">
        <v>46122</v>
      </c>
      <c r="E313" s="1" t="n">
        <v>46284</v>
      </c>
      <c r="F313" t="inlineStr">
        <is>
          <t>NORRBOTTENS LÄN</t>
        </is>
      </c>
      <c r="G313" t="inlineStr">
        <is>
          <t>ÄLVSBYN</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17798-2026</t>
        </is>
      </c>
      <c r="B314" t="inlineStr">
        <is>
          <t>avverkningsanmälan</t>
        </is>
      </c>
      <c r="C314" t="inlineStr">
        <is>
          <t>Föryngringsavverkning</t>
        </is>
      </c>
      <c r="D314" s="1" t="n">
        <v>46122</v>
      </c>
      <c r="E314" s="1" t="n">
        <v>46284</v>
      </c>
      <c r="F314" t="inlineStr">
        <is>
          <t>NORRBOTTENS LÄN</t>
        </is>
      </c>
      <c r="G314" t="inlineStr">
        <is>
          <t>ÄLVSBYN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17799-2026</t>
        </is>
      </c>
      <c r="B315" t="inlineStr">
        <is>
          <t>avverkningsanmälan</t>
        </is>
      </c>
      <c r="C315" t="inlineStr">
        <is>
          <t>Föryngringsavverkning</t>
        </is>
      </c>
      <c r="D315" s="1" t="n">
        <v>46122</v>
      </c>
      <c r="E315" s="1" t="n">
        <v>46284</v>
      </c>
      <c r="F315" t="inlineStr">
        <is>
          <t>NORRBOTTENS LÄN</t>
        </is>
      </c>
      <c r="G315" t="inlineStr">
        <is>
          <t>ÄLVSBYN</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18297-2026</t>
        </is>
      </c>
      <c r="B316" t="inlineStr">
        <is>
          <t>avverkningsanmälan</t>
        </is>
      </c>
      <c r="C316" t="inlineStr">
        <is>
          <t>Föryngringsavverkning</t>
        </is>
      </c>
      <c r="D316" s="1" t="n">
        <v>46126</v>
      </c>
      <c r="E316" s="1" t="n">
        <v>46284</v>
      </c>
      <c r="F316" t="inlineStr">
        <is>
          <t>NORRBOTTENS LÄN</t>
        </is>
      </c>
      <c r="G316" t="inlineStr">
        <is>
          <t>ÄLVSBYN</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29334-2026</t>
        </is>
      </c>
      <c r="B317" t="inlineStr">
        <is>
          <t>avverkningsanmälan</t>
        </is>
      </c>
      <c r="C317" t="inlineStr">
        <is>
          <t>Föryngringsavverkning</t>
        </is>
      </c>
      <c r="D317" s="1" t="n">
        <v>46202</v>
      </c>
      <c r="E317" s="1" t="n">
        <v>46284</v>
      </c>
      <c r="F317" t="inlineStr">
        <is>
          <t>NORRBOTTENS LÄN</t>
        </is>
      </c>
      <c r="G317" t="inlineStr">
        <is>
          <t>ÄLVSBYN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33065-2026</t>
        </is>
      </c>
      <c r="B318" t="inlineStr">
        <is>
          <t>avverkningsanmälan</t>
        </is>
      </c>
      <c r="C318" t="inlineStr">
        <is>
          <t>Föryngringsavverkning</t>
        </is>
      </c>
      <c r="D318" s="1" t="n">
        <v>46245</v>
      </c>
      <c r="E318" s="1" t="n">
        <v>46284</v>
      </c>
      <c r="F318" t="inlineStr">
        <is>
          <t>NORRBOTTENS LÄN</t>
        </is>
      </c>
      <c r="G318" t="inlineStr">
        <is>
          <t>ÄLVSBYN</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29185-2026</t>
        </is>
      </c>
      <c r="B319" t="inlineStr">
        <is>
          <t>avverkningsanmälan</t>
        </is>
      </c>
      <c r="C319" t="inlineStr">
        <is>
          <t>Föryngringsavverkning</t>
        </is>
      </c>
      <c r="D319" s="1" t="n">
        <v>46202</v>
      </c>
      <c r="E319" s="1" t="n">
        <v>46284</v>
      </c>
      <c r="F319" t="inlineStr">
        <is>
          <t>NORRBOTTENS LÄN</t>
        </is>
      </c>
      <c r="G319" t="inlineStr">
        <is>
          <t>ÄLVSBYN</t>
        </is>
      </c>
      <c r="I319" t="n">
        <v>14.9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28984-2026</t>
        </is>
      </c>
      <c r="B320" t="inlineStr">
        <is>
          <t>avverkningsanmälan</t>
        </is>
      </c>
      <c r="C320" t="inlineStr">
        <is>
          <t>Föryngringsavverkning</t>
        </is>
      </c>
      <c r="D320" s="1" t="n">
        <v>46199</v>
      </c>
      <c r="E320" s="1" t="n">
        <v>46284</v>
      </c>
      <c r="F320" t="inlineStr">
        <is>
          <t>NORRBOTTENS LÄN</t>
        </is>
      </c>
      <c r="G320" t="inlineStr">
        <is>
          <t>ÄLVSBYN</t>
        </is>
      </c>
      <c r="H320" t="inlineStr">
        <is>
          <t>SCA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58919-2023</t>
        </is>
      </c>
      <c r="B321" t="inlineStr">
        <is>
          <t>avverkningsanmälan</t>
        </is>
      </c>
      <c r="C321" t="inlineStr">
        <is>
          <t>Föryngringsavverkning</t>
        </is>
      </c>
      <c r="D321" s="1" t="n">
        <v>45252</v>
      </c>
      <c r="E321" s="1" t="n">
        <v>46284</v>
      </c>
      <c r="F321" t="inlineStr">
        <is>
          <t>NORRBOTTENS LÄN</t>
        </is>
      </c>
      <c r="G321" t="inlineStr">
        <is>
          <t>ÄLVSBYN</t>
        </is>
      </c>
      <c r="I321" t="n">
        <v>25.1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2595-2023</t>
        </is>
      </c>
      <c r="B322" t="inlineStr">
        <is>
          <t>avverkningsanmälan</t>
        </is>
      </c>
      <c r="C322" t="inlineStr">
        <is>
          <t>Föryngringsavverkning</t>
        </is>
      </c>
      <c r="D322" s="1" t="n">
        <v>44943</v>
      </c>
      <c r="E322" s="1" t="n">
        <v>46284</v>
      </c>
      <c r="F322" t="inlineStr">
        <is>
          <t>NORRBOTTENS LÄN</t>
        </is>
      </c>
      <c r="G322" t="inlineStr">
        <is>
          <t>ÄLVSBYN</t>
        </is>
      </c>
      <c r="H322" t="inlineStr">
        <is>
          <t>SCA</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19081-2026</t>
        </is>
      </c>
      <c r="B323" t="inlineStr">
        <is>
          <t>avverkningsanmälan</t>
        </is>
      </c>
      <c r="C323" t="inlineStr">
        <is>
          <t>Föryngringsavverkning</t>
        </is>
      </c>
      <c r="D323" s="1" t="n">
        <v>46132</v>
      </c>
      <c r="E323" s="1" t="n">
        <v>46284</v>
      </c>
      <c r="F323" t="inlineStr">
        <is>
          <t>NORRBOTTENS LÄN</t>
        </is>
      </c>
      <c r="G323" t="inlineStr">
        <is>
          <t>ÄLVSBYN</t>
        </is>
      </c>
      <c r="I323" t="n">
        <v>11.1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37731-2022</t>
        </is>
      </c>
      <c r="B324" t="inlineStr">
        <is>
          <t>avverkningsanmälan</t>
        </is>
      </c>
      <c r="C324" t="inlineStr">
        <is>
          <t>Föryngringsavverkning</t>
        </is>
      </c>
      <c r="D324" s="1" t="n">
        <v>44810</v>
      </c>
      <c r="E324" s="1" t="n">
        <v>46284</v>
      </c>
      <c r="F324" t="inlineStr">
        <is>
          <t>NORRBOTTENS LÄN</t>
        </is>
      </c>
      <c r="G324" t="inlineStr">
        <is>
          <t>ÄLVSBYN</t>
        </is>
      </c>
      <c r="H324" t="inlineStr">
        <is>
          <t>Sveaskog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29505-2026</t>
        </is>
      </c>
      <c r="B325" t="inlineStr">
        <is>
          <t>avverkningsanmälan</t>
        </is>
      </c>
      <c r="C325" t="inlineStr">
        <is>
          <t>Föryngringsavverkning</t>
        </is>
      </c>
      <c r="D325" s="1" t="n">
        <v>46203</v>
      </c>
      <c r="E325" s="1" t="n">
        <v>46284</v>
      </c>
      <c r="F325" t="inlineStr">
        <is>
          <t>NORRBOTTENS LÄN</t>
        </is>
      </c>
      <c r="G325" t="inlineStr">
        <is>
          <t>ÄLVSBYN</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52087-2022</t>
        </is>
      </c>
      <c r="B326" t="inlineStr">
        <is>
          <t>avverkningsanmälan</t>
        </is>
      </c>
      <c r="C326" t="inlineStr">
        <is>
          <t>Föryngringsavverkning</t>
        </is>
      </c>
      <c r="D326" s="1" t="n">
        <v>44873</v>
      </c>
      <c r="E326" s="1" t="n">
        <v>46284</v>
      </c>
      <c r="F326" t="inlineStr">
        <is>
          <t>NORRBOTTENS LÄN</t>
        </is>
      </c>
      <c r="G326" t="inlineStr">
        <is>
          <t>ÄLVSBYN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33323-2026</t>
        </is>
      </c>
      <c r="B327" t="inlineStr">
        <is>
          <t>avverkningsanmälan</t>
        </is>
      </c>
      <c r="C327" t="inlineStr">
        <is>
          <t>Föryngringsavverkning</t>
        </is>
      </c>
      <c r="D327" s="1" t="n">
        <v>46246</v>
      </c>
      <c r="E327" s="1" t="n">
        <v>46284</v>
      </c>
      <c r="F327" t="inlineStr">
        <is>
          <t>NORRBOTTENS LÄN</t>
        </is>
      </c>
      <c r="G327" t="inlineStr">
        <is>
          <t>ÄLVSBYN</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64872-2023</t>
        </is>
      </c>
      <c r="B328" t="inlineStr">
        <is>
          <t>avverkningsanmälan</t>
        </is>
      </c>
      <c r="C328" t="inlineStr">
        <is>
          <t>Föryngringsavverkning</t>
        </is>
      </c>
      <c r="D328" s="1" t="n">
        <v>45282</v>
      </c>
      <c r="E328" s="1" t="n">
        <v>46284</v>
      </c>
      <c r="F328" t="inlineStr">
        <is>
          <t>NORRBOTTENS LÄN</t>
        </is>
      </c>
      <c r="G328" t="inlineStr">
        <is>
          <t>ÄLVSBYN</t>
        </is>
      </c>
      <c r="H328" t="inlineStr">
        <is>
          <t>Övriga Aktiebolag</t>
        </is>
      </c>
      <c r="I328" t="n">
        <v>12.6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40560-2022</t>
        </is>
      </c>
      <c r="B329" t="inlineStr">
        <is>
          <t>avverkningsanmälan</t>
        </is>
      </c>
      <c r="C329" t="inlineStr">
        <is>
          <t>Föryngringsavverkning</t>
        </is>
      </c>
      <c r="D329" s="1" t="n">
        <v>44823</v>
      </c>
      <c r="E329" s="1" t="n">
        <v>46284</v>
      </c>
      <c r="F329" t="inlineStr">
        <is>
          <t>NORRBOTTENS LÄN</t>
        </is>
      </c>
      <c r="G329" t="inlineStr">
        <is>
          <t>ÄLVSBYN</t>
        </is>
      </c>
      <c r="H329" t="inlineStr">
        <is>
          <t>Sveaskog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5646-2024</t>
        </is>
      </c>
      <c r="B330" t="inlineStr">
        <is>
          <t>avverkningsanmälan</t>
        </is>
      </c>
      <c r="C330" t="inlineStr">
        <is>
          <t>Föryngringsavverkning</t>
        </is>
      </c>
      <c r="D330" s="1" t="n">
        <v>45334</v>
      </c>
      <c r="E330" s="1" t="n">
        <v>46284</v>
      </c>
      <c r="F330" t="inlineStr">
        <is>
          <t>NORRBOTTENS LÄN</t>
        </is>
      </c>
      <c r="G330" t="inlineStr">
        <is>
          <t>ÄLVSBYN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49398-2025</t>
        </is>
      </c>
      <c r="B331" t="inlineStr">
        <is>
          <t>avverkningsanmälan</t>
        </is>
      </c>
      <c r="C331" t="inlineStr">
        <is>
          <t>Föryngringsavverkning</t>
        </is>
      </c>
      <c r="D331" s="1" t="n">
        <v>45938</v>
      </c>
      <c r="E331" s="1" t="n">
        <v>46284</v>
      </c>
      <c r="F331" t="inlineStr">
        <is>
          <t>NORRBOTTENS LÄN</t>
        </is>
      </c>
      <c r="G331" t="inlineStr">
        <is>
          <t>ÄLVSBYN</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42141-2025</t>
        </is>
      </c>
      <c r="B332" t="inlineStr">
        <is>
          <t>avverkningsanmälan</t>
        </is>
      </c>
      <c r="C332" t="inlineStr">
        <is>
          <t>Föryngringsavverkning</t>
        </is>
      </c>
      <c r="D332" s="1" t="n">
        <v>45904</v>
      </c>
      <c r="E332" s="1" t="n">
        <v>46284</v>
      </c>
      <c r="F332" t="inlineStr">
        <is>
          <t>NORRBOTTENS LÄN</t>
        </is>
      </c>
      <c r="G332" t="inlineStr">
        <is>
          <t>ÄLVSBYN</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8554-2025</t>
        </is>
      </c>
      <c r="B333" t="inlineStr">
        <is>
          <t>avverkningsanmälan</t>
        </is>
      </c>
      <c r="C333" t="inlineStr">
        <is>
          <t>Föryngringsavverkning</t>
        </is>
      </c>
      <c r="D333" s="1" t="n">
        <v>45709</v>
      </c>
      <c r="E333" s="1" t="n">
        <v>46284</v>
      </c>
      <c r="F333" t="inlineStr">
        <is>
          <t>NORRBOTTENS LÄN</t>
        </is>
      </c>
      <c r="G333" t="inlineStr">
        <is>
          <t>ÄLVSBYN</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33848-2022</t>
        </is>
      </c>
      <c r="B334" t="inlineStr">
        <is>
          <t>avverkningsanmälan</t>
        </is>
      </c>
      <c r="C334" t="inlineStr">
        <is>
          <t>Föryngringsavverkning</t>
        </is>
      </c>
      <c r="D334" s="1" t="n">
        <v>44790</v>
      </c>
      <c r="E334" s="1" t="n">
        <v>46284</v>
      </c>
      <c r="F334" t="inlineStr">
        <is>
          <t>NORRBOTTENS LÄN</t>
        </is>
      </c>
      <c r="G334" t="inlineStr">
        <is>
          <t>ÄLVSBYN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33337-2026</t>
        </is>
      </c>
      <c r="B335" t="inlineStr">
        <is>
          <t>avverkningsanmälan</t>
        </is>
      </c>
      <c r="C335" t="inlineStr">
        <is>
          <t>Föryngringsavverkning</t>
        </is>
      </c>
      <c r="D335" s="1" t="n">
        <v>46246</v>
      </c>
      <c r="E335" s="1" t="n">
        <v>46284</v>
      </c>
      <c r="F335" t="inlineStr">
        <is>
          <t>NORRBOTTENS LÄN</t>
        </is>
      </c>
      <c r="G335" t="inlineStr">
        <is>
          <t>ÄLVSBYN</t>
        </is>
      </c>
      <c r="H335" t="inlineStr">
        <is>
          <t>SCA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51051-2024</t>
        </is>
      </c>
      <c r="B336" t="inlineStr">
        <is>
          <t>avverkningsanmälan</t>
        </is>
      </c>
      <c r="C336" t="inlineStr">
        <is>
          <t>Föryngringsavverkning</t>
        </is>
      </c>
      <c r="D336" s="1" t="n">
        <v>45603</v>
      </c>
      <c r="E336" s="1" t="n">
        <v>46284</v>
      </c>
      <c r="F336" t="inlineStr">
        <is>
          <t>NORRBOTTENS LÄN</t>
        </is>
      </c>
      <c r="G336" t="inlineStr">
        <is>
          <t>ÄLVSBYN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16204-2024</t>
        </is>
      </c>
      <c r="B337" t="inlineStr">
        <is>
          <t>avverkningsanmälan</t>
        </is>
      </c>
      <c r="C337" t="inlineStr">
        <is>
          <t>Föryngringsavverkning</t>
        </is>
      </c>
      <c r="D337" s="1" t="n">
        <v>45406</v>
      </c>
      <c r="E337" s="1" t="n">
        <v>46284</v>
      </c>
      <c r="F337" t="inlineStr">
        <is>
          <t>NORRBOTTENS LÄN</t>
        </is>
      </c>
      <c r="G337" t="inlineStr">
        <is>
          <t>ÄLVSBYN</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33325-2026</t>
        </is>
      </c>
      <c r="B338" t="inlineStr">
        <is>
          <t>avverkningsanmälan</t>
        </is>
      </c>
      <c r="C338" t="inlineStr">
        <is>
          <t>Föryngringsavverkning</t>
        </is>
      </c>
      <c r="D338" s="1" t="n">
        <v>46246</v>
      </c>
      <c r="E338" s="1" t="n">
        <v>46284</v>
      </c>
      <c r="F338" t="inlineStr">
        <is>
          <t>NORRBOTTENS LÄN</t>
        </is>
      </c>
      <c r="G338" t="inlineStr">
        <is>
          <t>ÄLVSBYN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29614-2026</t>
        </is>
      </c>
      <c r="B339" t="inlineStr">
        <is>
          <t>avverkningsanmälan</t>
        </is>
      </c>
      <c r="C339" t="inlineStr">
        <is>
          <t>Föryngringsavverkning</t>
        </is>
      </c>
      <c r="D339" s="1" t="n">
        <v>46204</v>
      </c>
      <c r="E339" s="1" t="n">
        <v>46284</v>
      </c>
      <c r="F339" t="inlineStr">
        <is>
          <t>NORRBOTTENS LÄN</t>
        </is>
      </c>
      <c r="G339" t="inlineStr">
        <is>
          <t>ÄLVSBYN</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58515-2023</t>
        </is>
      </c>
      <c r="B340" t="inlineStr">
        <is>
          <t>avverkningsanmälan</t>
        </is>
      </c>
      <c r="C340" t="inlineStr">
        <is>
          <t>Föryngringsavverkning</t>
        </is>
      </c>
      <c r="D340" s="1" t="n">
        <v>45251</v>
      </c>
      <c r="E340" s="1" t="n">
        <v>46284</v>
      </c>
      <c r="F340" t="inlineStr">
        <is>
          <t>NORRBOTTENS LÄN</t>
        </is>
      </c>
      <c r="G340" t="inlineStr">
        <is>
          <t>ÄLVSBYN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39005-2023</t>
        </is>
      </c>
      <c r="B341" t="inlineStr">
        <is>
          <t>avverkningsanmälan</t>
        </is>
      </c>
      <c r="C341" t="inlineStr">
        <is>
          <t>Föryngringsavverkning</t>
        </is>
      </c>
      <c r="D341" s="1" t="n">
        <v>45162</v>
      </c>
      <c r="E341" s="1" t="n">
        <v>46284</v>
      </c>
      <c r="F341" t="inlineStr">
        <is>
          <t>NORRBOTTENS LÄN</t>
        </is>
      </c>
      <c r="G341" t="inlineStr">
        <is>
          <t>ÄLVSBYN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30606-2024</t>
        </is>
      </c>
      <c r="B342" t="inlineStr">
        <is>
          <t>avverkningsanmälan</t>
        </is>
      </c>
      <c r="C342" t="inlineStr">
        <is>
          <t>Föryngringsavverkning</t>
        </is>
      </c>
      <c r="D342" s="1" t="n">
        <v>45494</v>
      </c>
      <c r="E342" s="1" t="n">
        <v>46284</v>
      </c>
      <c r="F342" t="inlineStr">
        <is>
          <t>NORRBOTTENS LÄN</t>
        </is>
      </c>
      <c r="G342" t="inlineStr">
        <is>
          <t>ÄLVSBYN</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58476-2023</t>
        </is>
      </c>
      <c r="B343" t="inlineStr">
        <is>
          <t>avverkningsanmälan</t>
        </is>
      </c>
      <c r="C343" t="inlineStr">
        <is>
          <t>Föryngringsavverkning</t>
        </is>
      </c>
      <c r="D343" s="1" t="n">
        <v>45246</v>
      </c>
      <c r="E343" s="1" t="n">
        <v>46284</v>
      </c>
      <c r="F343" t="inlineStr">
        <is>
          <t>NORRBOTTENS LÄN</t>
        </is>
      </c>
      <c r="G343" t="inlineStr">
        <is>
          <t>ÄLVSBYN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34394-2026</t>
        </is>
      </c>
      <c r="B344" t="inlineStr">
        <is>
          <t>avverkningsanmälan</t>
        </is>
      </c>
      <c r="C344" t="inlineStr">
        <is>
          <t>Föryngringsavverkning</t>
        </is>
      </c>
      <c r="D344" s="1" t="n">
        <v>46254</v>
      </c>
      <c r="E344" s="1" t="n">
        <v>46284</v>
      </c>
      <c r="F344" t="inlineStr">
        <is>
          <t>NORRBOTTENS LÄN</t>
        </is>
      </c>
      <c r="G344" t="inlineStr">
        <is>
          <t>ÄLVSBYN</t>
        </is>
      </c>
      <c r="H344" t="inlineStr">
        <is>
          <t>SCA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58908-2022</t>
        </is>
      </c>
      <c r="B345" t="inlineStr">
        <is>
          <t>avverkningsanmälan</t>
        </is>
      </c>
      <c r="C345" t="inlineStr">
        <is>
          <t>Föryngringsavverkning</t>
        </is>
      </c>
      <c r="D345" s="1" t="n">
        <v>44896</v>
      </c>
      <c r="E345" s="1" t="n">
        <v>46284</v>
      </c>
      <c r="F345" t="inlineStr">
        <is>
          <t>NORRBOTTENS LÄN</t>
        </is>
      </c>
      <c r="G345" t="inlineStr">
        <is>
          <t>ÄLVSBYN</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34472-2026</t>
        </is>
      </c>
      <c r="B346" t="inlineStr">
        <is>
          <t>avverkningsanmälan</t>
        </is>
      </c>
      <c r="C346" t="inlineStr">
        <is>
          <t>Föryngringsavverkning</t>
        </is>
      </c>
      <c r="D346" s="1" t="n">
        <v>46254</v>
      </c>
      <c r="E346" s="1" t="n">
        <v>46284</v>
      </c>
      <c r="F346" t="inlineStr">
        <is>
          <t>NORRBOTTENS LÄN</t>
        </is>
      </c>
      <c r="G346" t="inlineStr">
        <is>
          <t>ÄLVSBYN</t>
        </is>
      </c>
      <c r="H346" t="inlineStr">
        <is>
          <t>SCA</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62406-2023</t>
        </is>
      </c>
      <c r="B347" t="inlineStr">
        <is>
          <t>avverkningsanmälan</t>
        </is>
      </c>
      <c r="C347" t="inlineStr">
        <is>
          <t>Föryngringsavverkning</t>
        </is>
      </c>
      <c r="D347" s="1" t="n">
        <v>45266</v>
      </c>
      <c r="E347" s="1" t="n">
        <v>46284</v>
      </c>
      <c r="F347" t="inlineStr">
        <is>
          <t>NORRBOTTENS LÄN</t>
        </is>
      </c>
      <c r="G347" t="inlineStr">
        <is>
          <t>ÄLVSBYN</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30956-2026</t>
        </is>
      </c>
      <c r="B348" t="inlineStr">
        <is>
          <t>avverkningsanmälan</t>
        </is>
      </c>
      <c r="C348" t="inlineStr">
        <is>
          <t>Föryngringsavverkning</t>
        </is>
      </c>
      <c r="D348" s="1" t="n">
        <v>46213</v>
      </c>
      <c r="E348" s="1" t="n">
        <v>46284</v>
      </c>
      <c r="F348" t="inlineStr">
        <is>
          <t>NORRBOTTENS LÄN</t>
        </is>
      </c>
      <c r="G348" t="inlineStr">
        <is>
          <t>ÄLVSBYN</t>
        </is>
      </c>
      <c r="H348" t="inlineStr">
        <is>
          <t>SCA</t>
        </is>
      </c>
      <c r="I348" t="n">
        <v>13.3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4928-2025</t>
        </is>
      </c>
      <c r="B349" t="inlineStr">
        <is>
          <t>avverkningsanmälan</t>
        </is>
      </c>
      <c r="C349" t="inlineStr">
        <is>
          <t>Föryngringsavverkning</t>
        </is>
      </c>
      <c r="D349" s="1" t="n">
        <v>45688</v>
      </c>
      <c r="E349" s="1" t="n">
        <v>46284</v>
      </c>
      <c r="F349" t="inlineStr">
        <is>
          <t>NORRBOTTENS LÄN</t>
        </is>
      </c>
      <c r="G349" t="inlineStr">
        <is>
          <t>ÄLVSBYN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15255-2023</t>
        </is>
      </c>
      <c r="B350" t="inlineStr">
        <is>
          <t>avverkningsanmälan</t>
        </is>
      </c>
      <c r="C350" t="inlineStr">
        <is>
          <t>Föryngringsavverkning</t>
        </is>
      </c>
      <c r="D350" s="1" t="n">
        <v>45016</v>
      </c>
      <c r="E350" s="1" t="n">
        <v>46284</v>
      </c>
      <c r="F350" t="inlineStr">
        <is>
          <t>NORRBOTTENS LÄN</t>
        </is>
      </c>
      <c r="G350" t="inlineStr">
        <is>
          <t>ÄLVSBYN</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9631-2022</t>
        </is>
      </c>
      <c r="B351" t="inlineStr">
        <is>
          <t>avverkningsanmälan</t>
        </is>
      </c>
      <c r="C351" t="inlineStr">
        <is>
          <t>Avverkning för annat ändamål</t>
        </is>
      </c>
      <c r="D351" s="1" t="n">
        <v>44617</v>
      </c>
      <c r="E351" s="1" t="n">
        <v>46284</v>
      </c>
      <c r="F351" t="inlineStr">
        <is>
          <t>NORRBOTTENS LÄN</t>
        </is>
      </c>
      <c r="G351" t="inlineStr">
        <is>
          <t>ÄLVSBYN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9643-2022</t>
        </is>
      </c>
      <c r="B352" t="inlineStr">
        <is>
          <t>avverkningsanmälan</t>
        </is>
      </c>
      <c r="C352" t="inlineStr">
        <is>
          <t>Föryngringsavverkning</t>
        </is>
      </c>
      <c r="D352" s="1" t="n">
        <v>44617</v>
      </c>
      <c r="E352" s="1" t="n">
        <v>46284</v>
      </c>
      <c r="F352" t="inlineStr">
        <is>
          <t>NORRBOTTENS LÄN</t>
        </is>
      </c>
      <c r="G352" t="inlineStr">
        <is>
          <t>ÄLVSBYN</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5628-2024</t>
        </is>
      </c>
      <c r="B353" t="inlineStr">
        <is>
          <t>avverkningsanmälan</t>
        </is>
      </c>
      <c r="C353" t="inlineStr">
        <is>
          <t>Föryngringsavverkning</t>
        </is>
      </c>
      <c r="D353" s="1" t="n">
        <v>45334</v>
      </c>
      <c r="E353" s="1" t="n">
        <v>46284</v>
      </c>
      <c r="F353" t="inlineStr">
        <is>
          <t>NORRBOTTENS LÄN</t>
        </is>
      </c>
      <c r="G353" t="inlineStr">
        <is>
          <t>ÄLVSBYN</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30690-2024</t>
        </is>
      </c>
      <c r="B354" t="inlineStr">
        <is>
          <t>avverkningsanmälan</t>
        </is>
      </c>
      <c r="C354" t="inlineStr">
        <is>
          <t>Föryngringsavverkning</t>
        </is>
      </c>
      <c r="D354" s="1" t="n">
        <v>45495</v>
      </c>
      <c r="E354" s="1" t="n">
        <v>46284</v>
      </c>
      <c r="F354" t="inlineStr">
        <is>
          <t>NORRBOTTENS LÄN</t>
        </is>
      </c>
      <c r="G354" t="inlineStr">
        <is>
          <t>ÄLVSBYN</t>
        </is>
      </c>
      <c r="H354" t="inlineStr">
        <is>
          <t>SCA</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28389-2026</t>
        </is>
      </c>
      <c r="B355" t="inlineStr">
        <is>
          <t>avverkningsanmälan</t>
        </is>
      </c>
      <c r="C355" t="inlineStr">
        <is>
          <t>Föryngringsavverkning</t>
        </is>
      </c>
      <c r="D355" s="1" t="n">
        <v>46196</v>
      </c>
      <c r="E355" s="1" t="n">
        <v>46284</v>
      </c>
      <c r="F355" t="inlineStr">
        <is>
          <t>NORRBOTTENS LÄN</t>
        </is>
      </c>
      <c r="G355" t="inlineStr">
        <is>
          <t>ÄLVSBYN</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50375-2023</t>
        </is>
      </c>
      <c r="B356" t="inlineStr">
        <is>
          <t>avverkningsanmälan</t>
        </is>
      </c>
      <c r="C356" t="inlineStr">
        <is>
          <t>Föryngringsavverkning</t>
        </is>
      </c>
      <c r="D356" s="1" t="n">
        <v>45216</v>
      </c>
      <c r="E356" s="1" t="n">
        <v>46284</v>
      </c>
      <c r="F356" t="inlineStr">
        <is>
          <t>NORRBOTTENS LÄN</t>
        </is>
      </c>
      <c r="G356" t="inlineStr">
        <is>
          <t>ÄLVSBYN</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46404-2023</t>
        </is>
      </c>
      <c r="B357" t="inlineStr">
        <is>
          <t>avverkningsanmälan</t>
        </is>
      </c>
      <c r="C357" t="inlineStr">
        <is>
          <t>Föryngringsavverkning</t>
        </is>
      </c>
      <c r="D357" s="1" t="n">
        <v>45194</v>
      </c>
      <c r="E357" s="1" t="n">
        <v>46284</v>
      </c>
      <c r="F357" t="inlineStr">
        <is>
          <t>NORRBOTTENS LÄN</t>
        </is>
      </c>
      <c r="G357" t="inlineStr">
        <is>
          <t>ÄLVSBYN</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22810-2024</t>
        </is>
      </c>
      <c r="B358" t="inlineStr">
        <is>
          <t>avverkningsanmälan</t>
        </is>
      </c>
      <c r="C358" t="inlineStr">
        <is>
          <t>Föryngringsavverkning</t>
        </is>
      </c>
      <c r="D358" s="1" t="n">
        <v>45448</v>
      </c>
      <c r="E358" s="1" t="n">
        <v>46284</v>
      </c>
      <c r="F358" t="inlineStr">
        <is>
          <t>NORRBOTTENS LÄN</t>
        </is>
      </c>
      <c r="G358" t="inlineStr">
        <is>
          <t>ÄLVSBYN</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60773-2024</t>
        </is>
      </c>
      <c r="B359" t="inlineStr">
        <is>
          <t>avverkningsanmälan</t>
        </is>
      </c>
      <c r="C359" t="inlineStr">
        <is>
          <t>Föryngringsavverkning</t>
        </is>
      </c>
      <c r="D359" s="1" t="n">
        <v>45644</v>
      </c>
      <c r="E359" s="1" t="n">
        <v>46284</v>
      </c>
      <c r="F359" t="inlineStr">
        <is>
          <t>NORRBOTTENS LÄN</t>
        </is>
      </c>
      <c r="G359" t="inlineStr">
        <is>
          <t>ÄLVSBYN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36063-2026</t>
        </is>
      </c>
      <c r="B360" t="inlineStr">
        <is>
          <t>avverkningsanmälan</t>
        </is>
      </c>
      <c r="C360" t="inlineStr">
        <is>
          <t>Föryngringsavverkning</t>
        </is>
      </c>
      <c r="D360" s="1" t="n">
        <v>46267</v>
      </c>
      <c r="E360" s="1" t="n">
        <v>46284</v>
      </c>
      <c r="F360" t="inlineStr">
        <is>
          <t>NORRBOTTENS LÄN</t>
        </is>
      </c>
      <c r="G360" t="inlineStr">
        <is>
          <t>ÄLVSBYN</t>
        </is>
      </c>
      <c r="H360" t="inlineStr">
        <is>
          <t>SCA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36062-2026</t>
        </is>
      </c>
      <c r="B361" t="inlineStr">
        <is>
          <t>avverkningsanmälan</t>
        </is>
      </c>
      <c r="C361" t="inlineStr">
        <is>
          <t>Föryngringsavverkning</t>
        </is>
      </c>
      <c r="D361" s="1" t="n">
        <v>46267</v>
      </c>
      <c r="E361" s="1" t="n">
        <v>46284</v>
      </c>
      <c r="F361" t="inlineStr">
        <is>
          <t>NORRBOTTENS LÄN</t>
        </is>
      </c>
      <c r="G361" t="inlineStr">
        <is>
          <t>ÄLVSBYN</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20254-2024</t>
        </is>
      </c>
      <c r="B362" t="inlineStr">
        <is>
          <t>avverkningsanmälan</t>
        </is>
      </c>
      <c r="C362" t="inlineStr">
        <is>
          <t>Föryngringsavverkning</t>
        </is>
      </c>
      <c r="D362" s="1" t="n">
        <v>45434</v>
      </c>
      <c r="E362" s="1" t="n">
        <v>46284</v>
      </c>
      <c r="F362" t="inlineStr">
        <is>
          <t>NORRBOTTENS LÄN</t>
        </is>
      </c>
      <c r="G362" t="inlineStr">
        <is>
          <t>ÄLVSBYN</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59694-2025</t>
        </is>
      </c>
      <c r="B363" t="inlineStr">
        <is>
          <t>avverkningsanmälan</t>
        </is>
      </c>
      <c r="C363" t="inlineStr">
        <is>
          <t>Föryngringsavverkning</t>
        </is>
      </c>
      <c r="D363" s="1" t="n">
        <v>45992</v>
      </c>
      <c r="E363" s="1" t="n">
        <v>46284</v>
      </c>
      <c r="F363" t="inlineStr">
        <is>
          <t>NORRBOTTENS LÄN</t>
        </is>
      </c>
      <c r="G363" t="inlineStr">
        <is>
          <t>ÄLVSBYN</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33974-2026</t>
        </is>
      </c>
      <c r="B364" t="inlineStr">
        <is>
          <t>avverkningsanmälan</t>
        </is>
      </c>
      <c r="C364" t="inlineStr">
        <is>
          <t>Föryngringsavverkning</t>
        </is>
      </c>
      <c r="D364" s="1" t="n">
        <v>46252</v>
      </c>
      <c r="E364" s="1" t="n">
        <v>46284</v>
      </c>
      <c r="F364" t="inlineStr">
        <is>
          <t>NORRBOTTENS LÄN</t>
        </is>
      </c>
      <c r="G364" t="inlineStr">
        <is>
          <t>ÄLVSBYN</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27789-2026</t>
        </is>
      </c>
      <c r="B365" t="inlineStr">
        <is>
          <t>avverkningsanmälan</t>
        </is>
      </c>
      <c r="C365" t="inlineStr">
        <is>
          <t>Föryngringsavverkning</t>
        </is>
      </c>
      <c r="D365" s="1" t="n">
        <v>46191</v>
      </c>
      <c r="E365" s="1" t="n">
        <v>46284</v>
      </c>
      <c r="F365" t="inlineStr">
        <is>
          <t>NORRBOTTENS LÄN</t>
        </is>
      </c>
      <c r="G365" t="inlineStr">
        <is>
          <t>ÄLVSBYN</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31805-2026</t>
        </is>
      </c>
      <c r="B366" t="inlineStr">
        <is>
          <t>avverkningsanmälan</t>
        </is>
      </c>
      <c r="C366" t="inlineStr">
        <is>
          <t>Föryngringsavverkning</t>
        </is>
      </c>
      <c r="D366" s="1" t="n">
        <v>46230</v>
      </c>
      <c r="E366" s="1" t="n">
        <v>46284</v>
      </c>
      <c r="F366" t="inlineStr">
        <is>
          <t>NORRBOTTENS LÄN</t>
        </is>
      </c>
      <c r="G366" t="inlineStr">
        <is>
          <t>ÄLVSBYN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36830-2026</t>
        </is>
      </c>
      <c r="B367" t="inlineStr">
        <is>
          <t>avverkningsanmälan</t>
        </is>
      </c>
      <c r="C367" t="inlineStr">
        <is>
          <t>Föryngringsavverkning</t>
        </is>
      </c>
      <c r="D367" s="1" t="n">
        <v>46272</v>
      </c>
      <c r="E367" s="1" t="n">
        <v>46284</v>
      </c>
      <c r="F367" t="inlineStr">
        <is>
          <t>NORRBOTTENS LÄN</t>
        </is>
      </c>
      <c r="G367" t="inlineStr">
        <is>
          <t>ÄLVSBYN</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20166-2025</t>
        </is>
      </c>
      <c r="B368" t="inlineStr">
        <is>
          <t>avverkningsanmälan</t>
        </is>
      </c>
      <c r="C368" t="inlineStr">
        <is>
          <t>Föryngringsavverkning</t>
        </is>
      </c>
      <c r="D368" s="1" t="n">
        <v>45772</v>
      </c>
      <c r="E368" s="1" t="n">
        <v>46284</v>
      </c>
      <c r="F368" t="inlineStr">
        <is>
          <t>NORRBOTTENS LÄN</t>
        </is>
      </c>
      <c r="G368" t="inlineStr">
        <is>
          <t>ÄLVSBYN</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21990-2025</t>
        </is>
      </c>
      <c r="B369" t="inlineStr">
        <is>
          <t>avverkningsanmälan</t>
        </is>
      </c>
      <c r="C369" t="inlineStr">
        <is>
          <t>Föryngringsavverkning</t>
        </is>
      </c>
      <c r="D369" s="1" t="n">
        <v>45784</v>
      </c>
      <c r="E369" s="1" t="n">
        <v>46284</v>
      </c>
      <c r="F369" t="inlineStr">
        <is>
          <t>NORRBOTTENS LÄN</t>
        </is>
      </c>
      <c r="G369" t="inlineStr">
        <is>
          <t>ÄLVSBYN</t>
        </is>
      </c>
      <c r="H369" t="inlineStr">
        <is>
          <t>Övriga Aktiebolag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50672-2024</t>
        </is>
      </c>
      <c r="B370" t="inlineStr">
        <is>
          <t>avverkningsanmälan</t>
        </is>
      </c>
      <c r="C370" t="inlineStr">
        <is>
          <t>Föryngringsavverkning</t>
        </is>
      </c>
      <c r="D370" s="1" t="n">
        <v>45601</v>
      </c>
      <c r="E370" s="1" t="n">
        <v>46284</v>
      </c>
      <c r="F370" t="inlineStr">
        <is>
          <t>NORRBOTTENS LÄN</t>
        </is>
      </c>
      <c r="G370" t="inlineStr">
        <is>
          <t>ÄLVSBYN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37813-2026</t>
        </is>
      </c>
      <c r="B371" t="inlineStr">
        <is>
          <t>avverkningsanmälan</t>
        </is>
      </c>
      <c r="C371" t="inlineStr">
        <is>
          <t>Föryngringsavverkning</t>
        </is>
      </c>
      <c r="D371" s="1" t="n">
        <v>46279</v>
      </c>
      <c r="E371" s="1" t="n">
        <v>46284</v>
      </c>
      <c r="F371" t="inlineStr">
        <is>
          <t>NORRBOTTENS LÄN</t>
        </is>
      </c>
      <c r="G371" t="inlineStr">
        <is>
          <t>ÄLVSBYN</t>
        </is>
      </c>
      <c r="I371" t="n">
        <v>10.2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28862-2024</t>
        </is>
      </c>
      <c r="B372" t="inlineStr">
        <is>
          <t>avverkningsanmälan</t>
        </is>
      </c>
      <c r="C372" t="inlineStr">
        <is>
          <t>Föryngringsavverkning</t>
        </is>
      </c>
      <c r="D372" s="1" t="n">
        <v>45478</v>
      </c>
      <c r="E372" s="1" t="n">
        <v>46284</v>
      </c>
      <c r="F372" t="inlineStr">
        <is>
          <t>NORRBOTTENS LÄN</t>
        </is>
      </c>
      <c r="G372" t="inlineStr">
        <is>
          <t>ÄLVSBYN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11612-2026</t>
        </is>
      </c>
      <c r="B373" t="inlineStr">
        <is>
          <t>avverkningsanmälan</t>
        </is>
      </c>
      <c r="C373" t="inlineStr">
        <is>
          <t>Föryngringsavverkning</t>
        </is>
      </c>
      <c r="D373" s="1" t="n">
        <v>46084</v>
      </c>
      <c r="E373" s="1" t="n">
        <v>46284</v>
      </c>
      <c r="F373" t="inlineStr">
        <is>
          <t>NORRBOTTENS LÄN</t>
        </is>
      </c>
      <c r="G373" t="inlineStr">
        <is>
          <t>ÄLVSBYN</t>
        </is>
      </c>
      <c r="I373" t="n">
        <v>24.2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23336-2025</t>
        </is>
      </c>
      <c r="B374" t="inlineStr">
        <is>
          <t>avverkningsanmälan</t>
        </is>
      </c>
      <c r="C374" t="inlineStr">
        <is>
          <t>Föryngringsavverkning</t>
        </is>
      </c>
      <c r="D374" s="1" t="n">
        <v>45791</v>
      </c>
      <c r="E374" s="1" t="n">
        <v>46284</v>
      </c>
      <c r="F374" t="inlineStr">
        <is>
          <t>NORRBOTTENS LÄN</t>
        </is>
      </c>
      <c r="G374" t="inlineStr">
        <is>
          <t>ÄLVSBYN</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23411-2025</t>
        </is>
      </c>
      <c r="B375" t="inlineStr">
        <is>
          <t>avverkningsanmälan</t>
        </is>
      </c>
      <c r="C375" t="inlineStr">
        <is>
          <t>Föryngringsavverkning</t>
        </is>
      </c>
      <c r="D375" s="1" t="n">
        <v>45792</v>
      </c>
      <c r="E375" s="1" t="n">
        <v>46284</v>
      </c>
      <c r="F375" t="inlineStr">
        <is>
          <t>NORRBOTTENS LÄN</t>
        </is>
      </c>
      <c r="G375" t="inlineStr">
        <is>
          <t>ÄLVSBYN</t>
        </is>
      </c>
      <c r="H375" t="inlineStr">
        <is>
          <t>SCA</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32575-2026</t>
        </is>
      </c>
      <c r="B376" t="inlineStr">
        <is>
          <t>avverkningsanmälan</t>
        </is>
      </c>
      <c r="C376" t="inlineStr">
        <is>
          <t>Föryngringsavverkning</t>
        </is>
      </c>
      <c r="D376" s="1" t="n">
        <v>46239</v>
      </c>
      <c r="E376" s="1" t="n">
        <v>46284</v>
      </c>
      <c r="F376" t="inlineStr">
        <is>
          <t>NORRBOTTENS LÄN</t>
        </is>
      </c>
      <c r="G376" t="inlineStr">
        <is>
          <t>ÄLVSBYN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38598-2026</t>
        </is>
      </c>
      <c r="B377" t="inlineStr">
        <is>
          <t>avverkningsanmälan</t>
        </is>
      </c>
      <c r="C377" t="inlineStr">
        <is>
          <t>Föryngringsavverkning</t>
        </is>
      </c>
      <c r="D377" s="1" t="n">
        <v>46283</v>
      </c>
      <c r="E377" s="1" t="n">
        <v>46284</v>
      </c>
      <c r="F377" t="inlineStr">
        <is>
          <t>NORRBOTTENS LÄN</t>
        </is>
      </c>
      <c r="G377" t="inlineStr">
        <is>
          <t>ÄLVSBYN</t>
        </is>
      </c>
      <c r="I377" t="n">
        <v>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34448-2024</t>
        </is>
      </c>
      <c r="B378" t="inlineStr">
        <is>
          <t>avverkningsanmälan</t>
        </is>
      </c>
      <c r="C378" t="inlineStr">
        <is>
          <t>Föryngringsavverkning</t>
        </is>
      </c>
      <c r="D378" s="1" t="n">
        <v>45525</v>
      </c>
      <c r="E378" s="1" t="n">
        <v>46284</v>
      </c>
      <c r="F378" t="inlineStr">
        <is>
          <t>NORRBOTTENS LÄN</t>
        </is>
      </c>
      <c r="G378" t="inlineStr">
        <is>
          <t>ÄLVSBYN</t>
        </is>
      </c>
      <c r="H378" t="inlineStr">
        <is>
          <t>Övriga Aktiebolag</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25622-2025</t>
        </is>
      </c>
      <c r="B379" t="inlineStr">
        <is>
          <t>avverkningsanmälan</t>
        </is>
      </c>
      <c r="C379" t="inlineStr">
        <is>
          <t>Föryngringsavverkning</t>
        </is>
      </c>
      <c r="D379" s="1" t="n">
        <v>45803</v>
      </c>
      <c r="E379" s="1" t="n">
        <v>46284</v>
      </c>
      <c r="F379" t="inlineStr">
        <is>
          <t>NORRBOTTENS LÄN</t>
        </is>
      </c>
      <c r="G379" t="inlineStr">
        <is>
          <t>ÄLVSBYN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21548-2025</t>
        </is>
      </c>
      <c r="B380" t="inlineStr">
        <is>
          <t>avverkningsanmälan</t>
        </is>
      </c>
      <c r="C380" t="inlineStr">
        <is>
          <t>Föryngringsavverkning</t>
        </is>
      </c>
      <c r="D380" s="1" t="n">
        <v>45782</v>
      </c>
      <c r="E380" s="1" t="n">
        <v>46284</v>
      </c>
      <c r="F380" t="inlineStr">
        <is>
          <t>NORRBOTTENS LÄN</t>
        </is>
      </c>
      <c r="G380" t="inlineStr">
        <is>
          <t>ÄLVSBYN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25947-2025</t>
        </is>
      </c>
      <c r="B381" t="inlineStr">
        <is>
          <t>avverkningsanmälan</t>
        </is>
      </c>
      <c r="C381" t="inlineStr">
        <is>
          <t>Föryngringsavverkning</t>
        </is>
      </c>
      <c r="D381" s="1" t="n">
        <v>45804</v>
      </c>
      <c r="E381" s="1" t="n">
        <v>46284</v>
      </c>
      <c r="F381" t="inlineStr">
        <is>
          <t>NORRBOTTENS LÄN</t>
        </is>
      </c>
      <c r="G381" t="inlineStr">
        <is>
          <t>ÄLVSBYN</t>
        </is>
      </c>
      <c r="H381" t="inlineStr">
        <is>
          <t>SCA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26083-2025</t>
        </is>
      </c>
      <c r="B382" t="inlineStr">
        <is>
          <t>avverkningsanmälan</t>
        </is>
      </c>
      <c r="C382" t="inlineStr">
        <is>
          <t>Föryngringsavverkning</t>
        </is>
      </c>
      <c r="D382" s="1" t="n">
        <v>45805</v>
      </c>
      <c r="E382" s="1" t="n">
        <v>46284</v>
      </c>
      <c r="F382" t="inlineStr">
        <is>
          <t>NORRBOTTENS LÄN</t>
        </is>
      </c>
      <c r="G382" t="inlineStr">
        <is>
          <t>ÄLVSBYN</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26599-2025</t>
        </is>
      </c>
      <c r="B383" t="inlineStr">
        <is>
          <t>avverkningsanmälan</t>
        </is>
      </c>
      <c r="C383" t="inlineStr">
        <is>
          <t>Föryngringsavverkning</t>
        </is>
      </c>
      <c r="D383" s="1" t="n">
        <v>45808</v>
      </c>
      <c r="E383" s="1" t="n">
        <v>46284</v>
      </c>
      <c r="F383" t="inlineStr">
        <is>
          <t>NORRBOTTENS LÄN</t>
        </is>
      </c>
      <c r="G383" t="inlineStr">
        <is>
          <t>ÄLVSBYN</t>
        </is>
      </c>
      <c r="H383" t="inlineStr">
        <is>
          <t>SCA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51456-2023</t>
        </is>
      </c>
      <c r="B384" t="inlineStr">
        <is>
          <t>avverkningsanmälan</t>
        </is>
      </c>
      <c r="C384" t="inlineStr">
        <is>
          <t>Föryngringsavverkning</t>
        </is>
      </c>
      <c r="D384" s="1" t="n">
        <v>45220</v>
      </c>
      <c r="E384" s="1" t="n">
        <v>46284</v>
      </c>
      <c r="F384" t="inlineStr">
        <is>
          <t>NORRBOTTENS LÄN</t>
        </is>
      </c>
      <c r="G384" t="inlineStr">
        <is>
          <t>ÄLVSBYN</t>
        </is>
      </c>
      <c r="H384" t="inlineStr">
        <is>
          <t>SCA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27280-2025</t>
        </is>
      </c>
      <c r="B385" t="inlineStr">
        <is>
          <t>avverkningsanmälan</t>
        </is>
      </c>
      <c r="C385" t="inlineStr">
        <is>
          <t>Föryngringsavverkning</t>
        </is>
      </c>
      <c r="D385" s="1" t="n">
        <v>45812</v>
      </c>
      <c r="E385" s="1" t="n">
        <v>46284</v>
      </c>
      <c r="F385" t="inlineStr">
        <is>
          <t>NORRBOTTENS LÄN</t>
        </is>
      </c>
      <c r="G385" t="inlineStr">
        <is>
          <t>ÄLVSBYN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51794-2023</t>
        </is>
      </c>
      <c r="B386" t="inlineStr">
        <is>
          <t>avverkningsanmälan</t>
        </is>
      </c>
      <c r="C386" t="inlineStr">
        <is>
          <t>Föryngringsavverkning</t>
        </is>
      </c>
      <c r="D386" s="1" t="n">
        <v>45222</v>
      </c>
      <c r="E386" s="1" t="n">
        <v>46284</v>
      </c>
      <c r="F386" t="inlineStr">
        <is>
          <t>NORRBOTTENS LÄN</t>
        </is>
      </c>
      <c r="G386" t="inlineStr">
        <is>
          <t>ÄLVSBYN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41845-2024</t>
        </is>
      </c>
      <c r="B387" t="inlineStr">
        <is>
          <t>avverkningsanmälan</t>
        </is>
      </c>
      <c r="C387" t="inlineStr">
        <is>
          <t>Föryngringsavverkning</t>
        </is>
      </c>
      <c r="D387" s="1" t="n">
        <v>45561</v>
      </c>
      <c r="E387" s="1" t="n">
        <v>46284</v>
      </c>
      <c r="F387" t="inlineStr">
        <is>
          <t>NORRBOTTENS LÄN</t>
        </is>
      </c>
      <c r="G387" t="inlineStr">
        <is>
          <t>ÄLVSBYN</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29022-2025</t>
        </is>
      </c>
      <c r="B388" t="inlineStr">
        <is>
          <t>avverkningsanmälan</t>
        </is>
      </c>
      <c r="C388" t="inlineStr">
        <is>
          <t>Föryngringsavverkning</t>
        </is>
      </c>
      <c r="D388" s="1" t="n">
        <v>45821</v>
      </c>
      <c r="E388" s="1" t="n">
        <v>46284</v>
      </c>
      <c r="F388" t="inlineStr">
        <is>
          <t>NORRBOTTENS LÄN</t>
        </is>
      </c>
      <c r="G388" t="inlineStr">
        <is>
          <t>ÄLVSBYN</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31452-2024</t>
        </is>
      </c>
      <c r="B389" t="inlineStr">
        <is>
          <t>avverkningsanmälan</t>
        </is>
      </c>
      <c r="C389" t="inlineStr">
        <is>
          <t>Avverkning för annat ändamål</t>
        </is>
      </c>
      <c r="D389" s="1" t="n">
        <v>45505</v>
      </c>
      <c r="E389" s="1" t="n">
        <v>46284</v>
      </c>
      <c r="F389" t="inlineStr">
        <is>
          <t>NORRBOTTENS LÄN</t>
        </is>
      </c>
      <c r="G389" t="inlineStr">
        <is>
          <t>ÄLVSBYN</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30147-2025</t>
        </is>
      </c>
      <c r="B390" t="inlineStr">
        <is>
          <t>avverkningsanmälan</t>
        </is>
      </c>
      <c r="C390" t="inlineStr">
        <is>
          <t>Föryngringsavverkning</t>
        </is>
      </c>
      <c r="D390" s="1" t="n">
        <v>45827</v>
      </c>
      <c r="E390" s="1" t="n">
        <v>46284</v>
      </c>
      <c r="F390" t="inlineStr">
        <is>
          <t>NORRBOTTENS LÄN</t>
        </is>
      </c>
      <c r="G390" t="inlineStr">
        <is>
          <t>ÄLVSBYN</t>
        </is>
      </c>
      <c r="H390" t="inlineStr">
        <is>
          <t>Sveaskog</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30526-2025</t>
        </is>
      </c>
      <c r="B391" t="inlineStr">
        <is>
          <t>avverkningsanmälan</t>
        </is>
      </c>
      <c r="C391" t="inlineStr">
        <is>
          <t>Föryngringsavverkning</t>
        </is>
      </c>
      <c r="D391" s="1" t="n">
        <v>45831</v>
      </c>
      <c r="E391" s="1" t="n">
        <v>46284</v>
      </c>
      <c r="F391" t="inlineStr">
        <is>
          <t>NORRBOTTENS LÄN</t>
        </is>
      </c>
      <c r="G391" t="inlineStr">
        <is>
          <t>ÄLVSBYN</t>
        </is>
      </c>
      <c r="H391" t="inlineStr">
        <is>
          <t>Sveaskog</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31565-2025</t>
        </is>
      </c>
      <c r="B392" t="inlineStr">
        <is>
          <t>avverkningsanmälan</t>
        </is>
      </c>
      <c r="C392" t="inlineStr">
        <is>
          <t>Avverkning för annat ändamål</t>
        </is>
      </c>
      <c r="D392" s="1" t="n">
        <v>45833</v>
      </c>
      <c r="E392" s="1" t="n">
        <v>46284</v>
      </c>
      <c r="F392" t="inlineStr">
        <is>
          <t>NORRBOTTENS LÄN</t>
        </is>
      </c>
      <c r="G392" t="inlineStr">
        <is>
          <t>ÄLVSBYN</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51912-2021</t>
        </is>
      </c>
      <c r="B393" t="inlineStr">
        <is>
          <t>avverkningsanmälan</t>
        </is>
      </c>
      <c r="C393" t="inlineStr">
        <is>
          <t>Föryngringsavverkning</t>
        </is>
      </c>
      <c r="D393" s="1" t="n">
        <v>44462</v>
      </c>
      <c r="E393" s="1" t="n">
        <v>46284</v>
      </c>
      <c r="F393" t="inlineStr">
        <is>
          <t>NORRBOTTENS LÄN</t>
        </is>
      </c>
      <c r="G393" t="inlineStr">
        <is>
          <t>ÄLVSBYN</t>
        </is>
      </c>
      <c r="I393" t="n">
        <v>26.5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27277-2022</t>
        </is>
      </c>
      <c r="B394" t="inlineStr">
        <is>
          <t>avverkningsanmälan</t>
        </is>
      </c>
      <c r="C394" t="inlineStr">
        <is>
          <t>Föryngringsavverkning</t>
        </is>
      </c>
      <c r="D394" s="1" t="n">
        <v>44741</v>
      </c>
      <c r="E394" s="1" t="n">
        <v>46284</v>
      </c>
      <c r="F394" t="inlineStr">
        <is>
          <t>NORRBOTTENS LÄN</t>
        </is>
      </c>
      <c r="G394" t="inlineStr">
        <is>
          <t>ÄLVSBYN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36464-2025</t>
        </is>
      </c>
      <c r="B395" t="inlineStr">
        <is>
          <t>avverkningsanmälan</t>
        </is>
      </c>
      <c r="C395" t="inlineStr">
        <is>
          <t>Föryngringsavverkning</t>
        </is>
      </c>
      <c r="D395" s="1" t="n">
        <v>45869</v>
      </c>
      <c r="E395" s="1" t="n">
        <v>46284</v>
      </c>
      <c r="F395" t="inlineStr">
        <is>
          <t>NORRBOTTENS LÄN</t>
        </is>
      </c>
      <c r="G395" t="inlineStr">
        <is>
          <t>ÄLVSBYN</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30555-2025</t>
        </is>
      </c>
      <c r="B396" t="inlineStr">
        <is>
          <t>avverkningsanmälan</t>
        </is>
      </c>
      <c r="C396" t="inlineStr">
        <is>
          <t>Föryngringsavverkning</t>
        </is>
      </c>
      <c r="D396" s="1" t="n">
        <v>45831</v>
      </c>
      <c r="E396" s="1" t="n">
        <v>46284</v>
      </c>
      <c r="F396" t="inlineStr">
        <is>
          <t>NORRBOTTENS LÄN</t>
        </is>
      </c>
      <c r="G396" t="inlineStr">
        <is>
          <t>ÄLVSBYN</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36929-2025</t>
        </is>
      </c>
      <c r="B397" t="inlineStr">
        <is>
          <t>avverkningsanmälan</t>
        </is>
      </c>
      <c r="C397" t="inlineStr">
        <is>
          <t>Föryngringsavverkning</t>
        </is>
      </c>
      <c r="D397" s="1" t="n">
        <v>45874</v>
      </c>
      <c r="E397" s="1" t="n">
        <v>46284</v>
      </c>
      <c r="F397" t="inlineStr">
        <is>
          <t>NORRBOTTENS LÄN</t>
        </is>
      </c>
      <c r="G397" t="inlineStr">
        <is>
          <t>ÄLVSBYN</t>
        </is>
      </c>
      <c r="H397" t="inlineStr">
        <is>
          <t>SCA</t>
        </is>
      </c>
      <c r="I397" t="n">
        <v>21.8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20237-2025</t>
        </is>
      </c>
      <c r="B398" t="inlineStr">
        <is>
          <t>avverkningsanmälan</t>
        </is>
      </c>
      <c r="C398" t="inlineStr">
        <is>
          <t>Föryngringsavverkning</t>
        </is>
      </c>
      <c r="D398" s="1" t="n">
        <v>45772</v>
      </c>
      <c r="E398" s="1" t="n">
        <v>46284</v>
      </c>
      <c r="F398" t="inlineStr">
        <is>
          <t>NORRBOTTENS LÄN</t>
        </is>
      </c>
      <c r="G398" t="inlineStr">
        <is>
          <t>ÄLVSBYN</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46284</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46284</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46284</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46284</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46284</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46284</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46284</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46284</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3022-2025</t>
        </is>
      </c>
      <c r="B407" t="inlineStr">
        <is>
          <t>samrådsanmälan</t>
        </is>
      </c>
      <c r="C407" t="inlineStr">
        <is>
          <t>Annan skogsbruksåtgärd</t>
        </is>
      </c>
      <c r="D407" s="1" t="n">
        <v>45960</v>
      </c>
      <c r="E407" s="1" t="n">
        <v>46284</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46284</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46284</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46284</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46284</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46284</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46284</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2026-09-19T02:00:46Z</dcterms:created>
  <dcterms:modified xmlns:dcterms="http://purl.org/dc/terms/" xmlns:xsi="http://www.w3.org/2001/XMLSchema-instance" xsi:type="dcterms:W3CDTF">2026-09-19T02:00:47Z</dcterms:modified>
</cp:coreProperties>
</file>