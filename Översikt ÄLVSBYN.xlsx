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45797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45797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45797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45797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45797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45797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45797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45797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45797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45797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45797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45797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45797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45797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45797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45797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45797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45797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45797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45797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45797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45797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45797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45797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45797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45797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45797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45797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45797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45797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45797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45797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45797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45797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45797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45797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45797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45797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45797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45797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45797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45797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45797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45797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45797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45797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45797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45797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45797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45797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45797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45797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45797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45797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45797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45797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45797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6275-2024</t>
        </is>
      </c>
      <c r="B65" s="1" t="n">
        <v>45337</v>
      </c>
      <c r="C65" s="1" t="n">
        <v>45797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21974-2024</t>
        </is>
      </c>
      <c r="B66" s="1" t="n">
        <v>45443</v>
      </c>
      <c r="C66" s="1" t="n">
        <v>45797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21974-2024 artfynd.xlsx", "A 21974-2024")</f>
        <v/>
      </c>
      <c r="T66">
        <f>HYPERLINK("https://klasma.github.io/Logging_2560/kartor/A 21974-2024 karta.png", "A 21974-2024")</f>
        <v/>
      </c>
      <c r="V66">
        <f>HYPERLINK("https://klasma.github.io/Logging_2560/klagomål/A 21974-2024 FSC-klagomål.docx", "A 21974-2024")</f>
        <v/>
      </c>
      <c r="W66">
        <f>HYPERLINK("https://klasma.github.io/Logging_2560/klagomålsmail/A 21974-2024 FSC-klagomål mail.docx", "A 21974-2024")</f>
        <v/>
      </c>
      <c r="X66">
        <f>HYPERLINK("https://klasma.github.io/Logging_2560/tillsyn/A 21974-2024 tillsynsbegäran.docx", "A 21974-2024")</f>
        <v/>
      </c>
      <c r="Y66">
        <f>HYPERLINK("https://klasma.github.io/Logging_2560/tillsynsmail/A 21974-2024 tillsynsbegäran mail.docx", "A 21974-2024")</f>
        <v/>
      </c>
    </row>
    <row r="67" ht="15" customHeight="1">
      <c r="A67" t="inlineStr">
        <is>
          <t>A 21858-2024</t>
        </is>
      </c>
      <c r="B67" s="1" t="n">
        <v>45443</v>
      </c>
      <c r="C67" s="1" t="n">
        <v>45797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21858-2024 artfynd.xlsx", "A 21858-2024")</f>
        <v/>
      </c>
      <c r="T67">
        <f>HYPERLINK("https://klasma.github.io/Logging_2560/kartor/A 21858-2024 karta.png", "A 21858-2024")</f>
        <v/>
      </c>
      <c r="V67">
        <f>HYPERLINK("https://klasma.github.io/Logging_2560/klagomål/A 21858-2024 FSC-klagomål.docx", "A 21858-2024")</f>
        <v/>
      </c>
      <c r="W67">
        <f>HYPERLINK("https://klasma.github.io/Logging_2560/klagomålsmail/A 21858-2024 FSC-klagomål mail.docx", "A 21858-2024")</f>
        <v/>
      </c>
      <c r="X67">
        <f>HYPERLINK("https://klasma.github.io/Logging_2560/tillsyn/A 21858-2024 tillsynsbegäran.docx", "A 21858-2024")</f>
        <v/>
      </c>
      <c r="Y67">
        <f>HYPERLINK("https://klasma.github.io/Logging_2560/tillsynsmail/A 21858-2024 tillsynsbegäran mail.docx", "A 21858-2024")</f>
        <v/>
      </c>
    </row>
    <row r="68" ht="15" customHeight="1">
      <c r="A68" t="inlineStr">
        <is>
          <t>A 23132-2024</t>
        </is>
      </c>
      <c r="B68" s="1" t="n">
        <v>45450</v>
      </c>
      <c r="C68" s="1" t="n">
        <v>45797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23132-2024 artfynd.xlsx", "A 23132-2024")</f>
        <v/>
      </c>
      <c r="T68">
        <f>HYPERLINK("https://klasma.github.io/Logging_2560/kartor/A 23132-2024 karta.png", "A 23132-2024")</f>
        <v/>
      </c>
      <c r="V68">
        <f>HYPERLINK("https://klasma.github.io/Logging_2560/klagomål/A 23132-2024 FSC-klagomål.docx", "A 23132-2024")</f>
        <v/>
      </c>
      <c r="W68">
        <f>HYPERLINK("https://klasma.github.io/Logging_2560/klagomålsmail/A 23132-2024 FSC-klagomål mail.docx", "A 23132-2024")</f>
        <v/>
      </c>
      <c r="X68">
        <f>HYPERLINK("https://klasma.github.io/Logging_2560/tillsyn/A 23132-2024 tillsynsbegäran.docx", "A 23132-2024")</f>
        <v/>
      </c>
      <c r="Y68">
        <f>HYPERLINK("https://klasma.github.io/Logging_2560/tillsynsmail/A 23132-2024 tillsynsbegäran mail.docx", "A 23132-2024")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45797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43774-2024</t>
        </is>
      </c>
      <c r="B70" s="1" t="n">
        <v>45570</v>
      </c>
      <c r="C70" s="1" t="n">
        <v>45797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HYPERLINK("https://klasma.github.io/Logging_2560/artfynd/A 43774-2024 artfynd.xlsx", "A 43774-2024")</f>
        <v/>
      </c>
      <c r="T70">
        <f>HYPERLINK("https://klasma.github.io/Logging_2560/kartor/A 43774-2024 karta.png", "A 43774-2024")</f>
        <v/>
      </c>
      <c r="V70">
        <f>HYPERLINK("https://klasma.github.io/Logging_2560/klagomål/A 43774-2024 FSC-klagomål.docx", "A 43774-2024")</f>
        <v/>
      </c>
      <c r="W70">
        <f>HYPERLINK("https://klasma.github.io/Logging_2560/klagomålsmail/A 43774-2024 FSC-klagomål mail.docx", "A 43774-2024")</f>
        <v/>
      </c>
      <c r="X70">
        <f>HYPERLINK("https://klasma.github.io/Logging_2560/tillsyn/A 43774-2024 tillsynsbegäran.docx", "A 43774-2024")</f>
        <v/>
      </c>
      <c r="Y70">
        <f>HYPERLINK("https://klasma.github.io/Logging_2560/tillsynsmail/A 43774-2024 tillsynsbegäran mail.docx", "A 43774-2024")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45797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56551-2024</t>
        </is>
      </c>
      <c r="B72" s="1" t="n">
        <v>45625</v>
      </c>
      <c r="C72" s="1" t="n">
        <v>45797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56551-2024 artfynd.xlsx", "A 56551-2024")</f>
        <v/>
      </c>
      <c r="T72">
        <f>HYPERLINK("https://klasma.github.io/Logging_2560/kartor/A 56551-2024 karta.png", "A 56551-2024")</f>
        <v/>
      </c>
      <c r="V72">
        <f>HYPERLINK("https://klasma.github.io/Logging_2560/klagomål/A 56551-2024 FSC-klagomål.docx", "A 56551-2024")</f>
        <v/>
      </c>
      <c r="W72">
        <f>HYPERLINK("https://klasma.github.io/Logging_2560/klagomålsmail/A 56551-2024 FSC-klagomål mail.docx", "A 56551-2024")</f>
        <v/>
      </c>
      <c r="X72">
        <f>HYPERLINK("https://klasma.github.io/Logging_2560/tillsyn/A 56551-2024 tillsynsbegäran.docx", "A 56551-2024")</f>
        <v/>
      </c>
      <c r="Y72">
        <f>HYPERLINK("https://klasma.github.io/Logging_2560/tillsynsmail/A 56551-2024 tillsynsbegäran mail.docx", "A 56551-2024")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45797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45797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HYPERLINK("https://klasma.github.io/Logging_252560/artfynd/A 20466-2025 artfynd.xlsx", "A 20466-2025")</f>
        <v/>
      </c>
      <c r="T74">
        <f>HYPERLINK("https://klasma.github.io/Logging_252560/kartor/A 20466-2025 karta.png", "A 20466-2025")</f>
        <v/>
      </c>
      <c r="V74">
        <f>HYPERLINK("https://klasma.github.io/Logging_252560/klagomål/A 20466-2025 FSC-klagomål.docx", "A 20466-2025")</f>
        <v/>
      </c>
      <c r="W74">
        <f>HYPERLINK("https://klasma.github.io/Logging_252560/klagomålsmail/A 20466-2025 FSC-klagomål mail.docx", "A 20466-2025")</f>
        <v/>
      </c>
      <c r="X74">
        <f>HYPERLINK("https://klasma.github.io/Logging_252560/tillsyn/A 20466-2025 tillsynsbegäran.docx", "A 20466-2025")</f>
        <v/>
      </c>
      <c r="Y74">
        <f>HYPERLINK("https://klasma.github.io/Logging_252560/tillsynsmail/A 20466-2025 tillsynsbegäran mail.docx", "A 20466-2025")</f>
        <v/>
      </c>
    </row>
    <row r="75" ht="15" customHeight="1">
      <c r="A75" t="inlineStr">
        <is>
          <t>A 23790-2025</t>
        </is>
      </c>
      <c r="B75" s="1" t="n">
        <v>45793</v>
      </c>
      <c r="C75" s="1" t="n">
        <v>45797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HYPERLINK("https://klasma.github.io/Logging_252560/artfynd/A 23790-2025 artfynd.xlsx", "A 23790-2025")</f>
        <v/>
      </c>
      <c r="T75">
        <f>HYPERLINK("https://klasma.github.io/Logging_252560/kartor/A 23790-2025 karta.png", "A 23790-2025")</f>
        <v/>
      </c>
      <c r="V75">
        <f>HYPERLINK("https://klasma.github.io/Logging_252560/klagomål/A 23790-2025 FSC-klagomål.docx", "A 23790-2025")</f>
        <v/>
      </c>
      <c r="W75">
        <f>HYPERLINK("https://klasma.github.io/Logging_252560/klagomålsmail/A 23790-2025 FSC-klagomål mail.docx", "A 23790-2025")</f>
        <v/>
      </c>
      <c r="X75">
        <f>HYPERLINK("https://klasma.github.io/Logging_252560/tillsyn/A 23790-2025 tillsynsbegäran.docx", "A 23790-2025")</f>
        <v/>
      </c>
      <c r="Y75">
        <f>HYPERLINK("https://klasma.github.io/Logging_252560/tillsynsmail/A 23790-2025 tillsynsbegäran mail.docx", "A 23790-2025")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45797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45797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45797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45797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45797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45797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45797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45797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45797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45797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45797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45797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45797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45797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45797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45797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45797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45797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45797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45797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45797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45797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45797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45797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45797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45797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45797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45797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45797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45797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45797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45797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45797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45797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45797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45797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45797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45797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45797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45797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45797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45797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45797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45797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45797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45797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45797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45797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45797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45797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45797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45797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45797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45797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45797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45797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45797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45797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45797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45797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45797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45797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45797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45797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45797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45797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45797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45797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45797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45797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45797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45797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45797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45797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45797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45797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45797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45797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45797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45797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45797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45797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45797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45797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45797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45797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45797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45797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45797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45797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45797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45797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45797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45797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45797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45797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45797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45797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45797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45797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45797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45797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45797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45797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45797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45797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45797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45797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45797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45797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45797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45797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45797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45797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45797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45797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45797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45797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45797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45797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45797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45797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45797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45797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45797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45797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45797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45797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45797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45797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45797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45797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45797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45797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45797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45797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45797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45797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45797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45797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45797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45797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45797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45797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45797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45797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45797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45797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45797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45797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45797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45797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45797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45797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45797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45797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45797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45797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45797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45797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45797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45797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45797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45797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45797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45797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45797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45797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45797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45797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45797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45797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45797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45797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45797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45797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45797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45797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45797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45797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45797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45797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45797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45797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45797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45797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45797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45797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45797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45797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45797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45797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45797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45797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45797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45797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45797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45797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45797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45797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45797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45797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45797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45797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45797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45797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45797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45797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45797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45797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45797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45797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45797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45797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45797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45797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45797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45797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45797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45797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45797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45797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45797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45797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45797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45797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45797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45797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45797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45797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45797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45797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45797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45797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45797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45797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45797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45797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45797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45797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45797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45797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45797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45797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45797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45797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45797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45797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45797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45797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45797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45797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45797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45797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45797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45797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45797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45797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45797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45797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45797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45797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45797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45797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45797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45797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45797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45797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45797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45797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45797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45797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45797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45797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45797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45797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45797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45797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45797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45797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45797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45797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45797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45797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45797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45797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45797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45797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45797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45797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45797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45797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45797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45797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45797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45797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45797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45797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45797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45797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45797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45797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45797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45797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45797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45797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45797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45797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45797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45797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45797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45797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45797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45797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45797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45797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45797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45797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45797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45797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45797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45797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45797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45797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45797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45797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45797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45797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45797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45797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45797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45797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45797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45797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45797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45797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45797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45797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45797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45797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45797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45797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45797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45797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45797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45797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45797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45797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45797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45797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45797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45797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45797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45797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45797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45797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45797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45797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45797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45797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45797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45797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45797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45797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45797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45797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45797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45797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45797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45797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45797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45797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45797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45797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45797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45797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45797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45797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45797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45797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45797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45797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45797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45797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45797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62395-2023</t>
        </is>
      </c>
      <c r="B461" s="1" t="n">
        <v>45266</v>
      </c>
      <c r="C461" s="1" t="n">
        <v>45797</v>
      </c>
      <c r="D461" t="inlineStr">
        <is>
          <t>NORRBOTTENS LÄN</t>
        </is>
      </c>
      <c r="E461" t="inlineStr">
        <is>
          <t>ÄLVSBYN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45797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45797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45797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45797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45797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45797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45797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45797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45797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45797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45797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45797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45797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45797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45797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45797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45797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45797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45797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45797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45797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45797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45797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45797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45797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45797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45797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45797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45797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45797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45797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45797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45797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45797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45797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45797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45797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45797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45797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45797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45797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45797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45797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45797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45797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45797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45797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45797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45797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45797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45797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45797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45797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45797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45797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45797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45797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45797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45797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45797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45797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45797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45797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45797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45797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45797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45797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45797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45797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45797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45797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45797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45797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45797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45797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45797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45797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45797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45797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45797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45797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45797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45797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45797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45797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45797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45797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45797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45797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45797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45797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45797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45797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45797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45797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45797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45797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45797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45797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45797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45797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45797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45797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45797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45797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45797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45797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45797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45797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45797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45797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45797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45797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45797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45797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45797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45797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45797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45797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45797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45797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45797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45797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45797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45797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45797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45797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45797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45797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45797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45797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45797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45797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45797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45797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45797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45797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45797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45797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45797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45797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45797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45797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45797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45797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45797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45797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45797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45797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45797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45797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45797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45797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45797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45797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45797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45797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45797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45797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45797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45797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45797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45797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45797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45797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45797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45797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45797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45797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45797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45797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45797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45797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45797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45797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45797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45797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45797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45797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45797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45797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45797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45797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45797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45797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45797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45797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45797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45797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45797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45797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45797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45797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45797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45797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45797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45797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45797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45797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45797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45797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45797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45797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45797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45797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45797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45797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45797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45797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45797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45797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45797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45797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45797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45797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45797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45797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45797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45797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45797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45797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45797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45797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45797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45797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45797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45797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45797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45797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45797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45797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45797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45797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45797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45797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45797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45797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45797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45797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45797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45797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45797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45797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45797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45797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45797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45797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45797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45797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45797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45797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45797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45797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45797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45797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45797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45797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45797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45797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45797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45797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45797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45797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45797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45797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45797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45797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45797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45797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45797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45797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45797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45797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45797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45797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45797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45797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45797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45797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45797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45797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45797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45797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45797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45797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45797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23411-2025</t>
        </is>
      </c>
      <c r="B748" s="1" t="n">
        <v>45792</v>
      </c>
      <c r="C748" s="1" t="n">
        <v>45797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2025-05-20T18:21:11Z</dcterms:created>
  <dcterms:modified xmlns:dcterms="http://purl.org/dc/terms/" xmlns:xsi="http://www.w3.org/2001/XMLSchema-instance" xsi:type="dcterms:W3CDTF">2025-05-20T18:21:12Z</dcterms:modified>
</cp:coreProperties>
</file>