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45578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45578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45578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45578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45578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45578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45578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45578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45578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45578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45578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45578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45578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45578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45578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45578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Dvärgbägarlav
Motaggsvamp
Talltita
Vaddporing
Vedskivlav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3752-2023</t>
        </is>
      </c>
      <c r="B18" s="1" t="n">
        <v>44949</v>
      </c>
      <c r="C18" s="1" t="n">
        <v>45578</v>
      </c>
      <c r="D18" t="inlineStr">
        <is>
          <t>NORRBOTTENS LÄN</t>
        </is>
      </c>
      <c r="E18" t="inlineStr">
        <is>
          <t>ÄLVSBYN</t>
        </is>
      </c>
      <c r="G18" t="n">
        <v>3.7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HYPERLINK("https://klasma.github.io/Logging_2560/artfynd/A 3752-2023 artfynd.xlsx", "A 3752-2023")</f>
        <v/>
      </c>
      <c r="T18">
        <f>HYPERLINK("https://klasma.github.io/Logging_2560/kartor/A 3752-2023 karta.png", "A 3752-2023")</f>
        <v/>
      </c>
      <c r="V18">
        <f>HYPERLINK("https://klasma.github.io/Logging_2560/klagomål/A 3752-2023 FSC-klagomål.docx", "A 3752-2023")</f>
        <v/>
      </c>
      <c r="W18">
        <f>HYPERLINK("https://klasma.github.io/Logging_2560/klagomålsmail/A 3752-2023 FSC-klagomål mail.docx", "A 3752-2023")</f>
        <v/>
      </c>
      <c r="X18">
        <f>HYPERLINK("https://klasma.github.io/Logging_2560/tillsyn/A 3752-2023 tillsynsbegäran.docx", "A 3752-2023")</f>
        <v/>
      </c>
      <c r="Y18">
        <f>HYPERLINK("https://klasma.github.io/Logging_2560/tillsynsmail/A 3752-2023 tillsynsbegäran mail.docx", "A 3752-2023")</f>
        <v/>
      </c>
      <c r="Z18">
        <f>HYPERLINK("https://klasma.github.io/Logging_2560/fåglar/A 3752-2023 prioriterade fågelarter.docx", "A 3752-2023")</f>
        <v/>
      </c>
    </row>
    <row r="19" ht="15" customHeight="1">
      <c r="A19" t="inlineStr">
        <is>
          <t>A 28088-2023</t>
        </is>
      </c>
      <c r="B19" s="1" t="n">
        <v>45099</v>
      </c>
      <c r="C19" s="1" t="n">
        <v>45578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5.6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Kolflarnlav
Lunglav</t>
        </is>
      </c>
      <c r="S19">
        <f>HYPERLINK("https://klasma.github.io/Logging_2560/artfynd/A 28088-2023 artfynd.xlsx", "A 28088-2023")</f>
        <v/>
      </c>
      <c r="T19">
        <f>HYPERLINK("https://klasma.github.io/Logging_2560/kartor/A 28088-2023 karta.png", "A 28088-2023")</f>
        <v/>
      </c>
      <c r="V19">
        <f>HYPERLINK("https://klasma.github.io/Logging_2560/klagomål/A 28088-2023 FSC-klagomål.docx", "A 28088-2023")</f>
        <v/>
      </c>
      <c r="W19">
        <f>HYPERLINK("https://klasma.github.io/Logging_2560/klagomålsmail/A 28088-2023 FSC-klagomål mail.docx", "A 28088-2023")</f>
        <v/>
      </c>
      <c r="X19">
        <f>HYPERLINK("https://klasma.github.io/Logging_2560/tillsyn/A 28088-2023 tillsynsbegäran.docx", "A 28088-2023")</f>
        <v/>
      </c>
      <c r="Y19">
        <f>HYPERLINK("https://klasma.github.io/Logging_2560/tillsynsmail/A 28088-2023 tillsynsbegäran mail.docx", "A 28088-2023")</f>
        <v/>
      </c>
    </row>
    <row r="20" ht="15" customHeight="1">
      <c r="A20" t="inlineStr">
        <is>
          <t>A 47132-2023</t>
        </is>
      </c>
      <c r="B20" s="1" t="n">
        <v>45201</v>
      </c>
      <c r="C20" s="1" t="n">
        <v>45578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4.1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Motaggsvamp
Skrovlig taggsvamp
Tallriska</t>
        </is>
      </c>
      <c r="S20">
        <f>HYPERLINK("https://klasma.github.io/Logging_2560/artfynd/A 47132-2023 artfynd.xlsx", "A 47132-2023")</f>
        <v/>
      </c>
      <c r="T20">
        <f>HYPERLINK("https://klasma.github.io/Logging_2560/kartor/A 47132-2023 karta.png", "A 47132-2023")</f>
        <v/>
      </c>
      <c r="V20">
        <f>HYPERLINK("https://klasma.github.io/Logging_2560/klagomål/A 47132-2023 FSC-klagomål.docx", "A 47132-2023")</f>
        <v/>
      </c>
      <c r="W20">
        <f>HYPERLINK("https://klasma.github.io/Logging_2560/klagomålsmail/A 47132-2023 FSC-klagomål mail.docx", "A 47132-2023")</f>
        <v/>
      </c>
      <c r="X20">
        <f>HYPERLINK("https://klasma.github.io/Logging_2560/tillsyn/A 47132-2023 tillsynsbegäran.docx", "A 47132-2023")</f>
        <v/>
      </c>
      <c r="Y20">
        <f>HYPERLINK("https://klasma.github.io/Logging_2560/tillsynsmail/A 47132-2023 tillsynsbegäran mail.docx", "A 47132-2023")</f>
        <v/>
      </c>
    </row>
    <row r="21" ht="15" customHeight="1">
      <c r="A21" t="inlineStr">
        <is>
          <t>A 59618-2023</t>
        </is>
      </c>
      <c r="B21" s="1" t="n">
        <v>45254</v>
      </c>
      <c r="C21" s="1" t="n">
        <v>45578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26.3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Kolflarnlav
Svart taggsvamp
Dropptaggsvamp</t>
        </is>
      </c>
      <c r="S21">
        <f>HYPERLINK("https://klasma.github.io/Logging_2560/artfynd/A 59618-2023 artfynd.xlsx", "A 59618-2023")</f>
        <v/>
      </c>
      <c r="T21">
        <f>HYPERLINK("https://klasma.github.io/Logging_2560/kartor/A 59618-2023 karta.png", "A 59618-2023")</f>
        <v/>
      </c>
      <c r="V21">
        <f>HYPERLINK("https://klasma.github.io/Logging_2560/klagomål/A 59618-2023 FSC-klagomål.docx", "A 59618-2023")</f>
        <v/>
      </c>
      <c r="W21">
        <f>HYPERLINK("https://klasma.github.io/Logging_2560/klagomålsmail/A 59618-2023 FSC-klagomål mail.docx", "A 59618-2023")</f>
        <v/>
      </c>
      <c r="X21">
        <f>HYPERLINK("https://klasma.github.io/Logging_2560/tillsyn/A 59618-2023 tillsynsbegäran.docx", "A 59618-2023")</f>
        <v/>
      </c>
      <c r="Y21">
        <f>HYPERLINK("https://klasma.github.io/Logging_2560/tillsynsmail/A 59618-2023 tillsynsbegäran mail.docx", "A 59618-2023")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45578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8612-2020</t>
        </is>
      </c>
      <c r="B23" s="1" t="n">
        <v>43875</v>
      </c>
      <c r="C23" s="1" t="n">
        <v>45578</v>
      </c>
      <c r="D23" t="inlineStr">
        <is>
          <t>NORRBOTTENS LÄN</t>
        </is>
      </c>
      <c r="E23" t="inlineStr">
        <is>
          <t>ÄLVSBYN</t>
        </is>
      </c>
      <c r="G23" t="n">
        <v>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Rotfingersvamp
Smalfotad taggsvamp</t>
        </is>
      </c>
      <c r="S23">
        <f>HYPERLINK("https://klasma.github.io/Logging_2560/artfynd/A 8612-2020 artfynd.xlsx", "A 8612-2020")</f>
        <v/>
      </c>
      <c r="T23">
        <f>HYPERLINK("https://klasma.github.io/Logging_2560/kartor/A 8612-2020 karta.png", "A 8612-2020")</f>
        <v/>
      </c>
      <c r="V23">
        <f>HYPERLINK("https://klasma.github.io/Logging_2560/klagomål/A 8612-2020 FSC-klagomål.docx", "A 8612-2020")</f>
        <v/>
      </c>
      <c r="W23">
        <f>HYPERLINK("https://klasma.github.io/Logging_2560/klagomålsmail/A 8612-2020 FSC-klagomål mail.docx", "A 8612-2020")</f>
        <v/>
      </c>
      <c r="X23">
        <f>HYPERLINK("https://klasma.github.io/Logging_2560/tillsyn/A 8612-2020 tillsynsbegäran.docx", "A 8612-2020")</f>
        <v/>
      </c>
      <c r="Y23">
        <f>HYPERLINK("https://klasma.github.io/Logging_2560/tillsynsmail/A 8612-2020 tillsynsbegäran mail.docx", "A 8612-2020")</f>
        <v/>
      </c>
    </row>
    <row r="24" ht="15" customHeight="1">
      <c r="A24" t="inlineStr">
        <is>
          <t>A 52177-2021</t>
        </is>
      </c>
      <c r="B24" s="1" t="n">
        <v>44463</v>
      </c>
      <c r="C24" s="1" t="n">
        <v>45578</v>
      </c>
      <c r="D24" t="inlineStr">
        <is>
          <t>NORRBOTTENS LÄN</t>
        </is>
      </c>
      <c r="E24" t="inlineStr">
        <is>
          <t>ÄLVSBYN</t>
        </is>
      </c>
      <c r="G24" t="n">
        <v>36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Tjäder</t>
        </is>
      </c>
      <c r="S24">
        <f>HYPERLINK("https://klasma.github.io/Logging_2560/artfynd/A 52177-2021 artfynd.xlsx", "A 52177-2021")</f>
        <v/>
      </c>
      <c r="T24">
        <f>HYPERLINK("https://klasma.github.io/Logging_2560/kartor/A 52177-2021 karta.png", "A 52177-2021")</f>
        <v/>
      </c>
      <c r="V24">
        <f>HYPERLINK("https://klasma.github.io/Logging_2560/klagomål/A 52177-2021 FSC-klagomål.docx", "A 52177-2021")</f>
        <v/>
      </c>
      <c r="W24">
        <f>HYPERLINK("https://klasma.github.io/Logging_2560/klagomålsmail/A 52177-2021 FSC-klagomål mail.docx", "A 52177-2021")</f>
        <v/>
      </c>
      <c r="X24">
        <f>HYPERLINK("https://klasma.github.io/Logging_2560/tillsyn/A 52177-2021 tillsynsbegäran.docx", "A 52177-2021")</f>
        <v/>
      </c>
      <c r="Y24">
        <f>HYPERLINK("https://klasma.github.io/Logging_2560/tillsynsmail/A 52177-2021 tillsynsbegäran mail.docx", "A 52177-2021")</f>
        <v/>
      </c>
      <c r="Z24">
        <f>HYPERLINK("https://klasma.github.io/Logging_2560/fåglar/A 52177-2021 prioriterade fågelarter.docx", "A 52177-2021")</f>
        <v/>
      </c>
    </row>
    <row r="25" ht="15" customHeight="1">
      <c r="A25" t="inlineStr">
        <is>
          <t>A 52513-2022</t>
        </is>
      </c>
      <c r="B25" s="1" t="n">
        <v>44874</v>
      </c>
      <c r="C25" s="1" t="n">
        <v>45578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Lunglav</t>
        </is>
      </c>
      <c r="S25">
        <f>HYPERLINK("https://klasma.github.io/Logging_2560/artfynd/A 52513-2022 artfynd.xlsx", "A 52513-2022")</f>
        <v/>
      </c>
      <c r="T25">
        <f>HYPERLINK("https://klasma.github.io/Logging_2560/kartor/A 52513-2022 karta.png", "A 52513-2022")</f>
        <v/>
      </c>
      <c r="V25">
        <f>HYPERLINK("https://klasma.github.io/Logging_2560/klagomål/A 52513-2022 FSC-klagomål.docx", "A 52513-2022")</f>
        <v/>
      </c>
      <c r="W25">
        <f>HYPERLINK("https://klasma.github.io/Logging_2560/klagomålsmail/A 52513-2022 FSC-klagomål mail.docx", "A 52513-2022")</f>
        <v/>
      </c>
      <c r="X25">
        <f>HYPERLINK("https://klasma.github.io/Logging_2560/tillsyn/A 52513-2022 tillsynsbegäran.docx", "A 52513-2022")</f>
        <v/>
      </c>
      <c r="Y25">
        <f>HYPERLINK("https://klasma.github.io/Logging_2560/tillsynsmail/A 52513-2022 tillsynsbegäran mail.docx", "A 52513-2022")</f>
        <v/>
      </c>
    </row>
    <row r="26" ht="15" customHeight="1">
      <c r="A26" t="inlineStr">
        <is>
          <t>A 29877-2023</t>
        </is>
      </c>
      <c r="B26" s="1" t="n">
        <v>45107</v>
      </c>
      <c r="C26" s="1" t="n">
        <v>45578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Lunglav</t>
        </is>
      </c>
      <c r="S26">
        <f>HYPERLINK("https://klasma.github.io/Logging_2560/artfynd/A 29877-2023 artfynd.xlsx", "A 29877-2023")</f>
        <v/>
      </c>
      <c r="T26">
        <f>HYPERLINK("https://klasma.github.io/Logging_2560/kartor/A 29877-2023 karta.png", "A 29877-2023")</f>
        <v/>
      </c>
      <c r="V26">
        <f>HYPERLINK("https://klasma.github.io/Logging_2560/klagomål/A 29877-2023 FSC-klagomål.docx", "A 29877-2023")</f>
        <v/>
      </c>
      <c r="W26">
        <f>HYPERLINK("https://klasma.github.io/Logging_2560/klagomålsmail/A 29877-2023 FSC-klagomål mail.docx", "A 29877-2023")</f>
        <v/>
      </c>
      <c r="X26">
        <f>HYPERLINK("https://klasma.github.io/Logging_2560/tillsyn/A 29877-2023 tillsynsbegäran.docx", "A 29877-2023")</f>
        <v/>
      </c>
      <c r="Y26">
        <f>HYPERLINK("https://klasma.github.io/Logging_2560/tillsynsmail/A 29877-2023 tillsynsbegäran mail.docx", "A 29877-2023")</f>
        <v/>
      </c>
    </row>
    <row r="27" ht="15" customHeight="1">
      <c r="A27" t="inlineStr">
        <is>
          <t>A 47131-2023</t>
        </is>
      </c>
      <c r="B27" s="1" t="n">
        <v>45201</v>
      </c>
      <c r="C27" s="1" t="n">
        <v>45578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13.6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Tallriska</t>
        </is>
      </c>
      <c r="S27">
        <f>HYPERLINK("https://klasma.github.io/Logging_2560/artfynd/A 47131-2023 artfynd.xlsx", "A 47131-2023")</f>
        <v/>
      </c>
      <c r="T27">
        <f>HYPERLINK("https://klasma.github.io/Logging_2560/kartor/A 47131-2023 karta.png", "A 47131-2023")</f>
        <v/>
      </c>
      <c r="V27">
        <f>HYPERLINK("https://klasma.github.io/Logging_2560/klagomål/A 47131-2023 FSC-klagomål.docx", "A 47131-2023")</f>
        <v/>
      </c>
      <c r="W27">
        <f>HYPERLINK("https://klasma.github.io/Logging_2560/klagomålsmail/A 47131-2023 FSC-klagomål mail.docx", "A 47131-2023")</f>
        <v/>
      </c>
      <c r="X27">
        <f>HYPERLINK("https://klasma.github.io/Logging_2560/tillsyn/A 47131-2023 tillsynsbegäran.docx", "A 47131-2023")</f>
        <v/>
      </c>
      <c r="Y27">
        <f>HYPERLINK("https://klasma.github.io/Logging_2560/tillsynsmail/A 47131-2023 tillsynsbegäran mail.docx", "A 47131-2023")</f>
        <v/>
      </c>
    </row>
    <row r="28" ht="15" customHeight="1">
      <c r="A28" t="inlineStr">
        <is>
          <t>A 569-2024</t>
        </is>
      </c>
      <c r="B28" s="1" t="n">
        <v>45299</v>
      </c>
      <c r="C28" s="1" t="n">
        <v>45578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Skarp dropptaggsvamp</t>
        </is>
      </c>
      <c r="S28">
        <f>HYPERLINK("https://klasma.github.io/Logging_2560/artfynd/A 569-2024 artfynd.xlsx", "A 569-2024")</f>
        <v/>
      </c>
      <c r="T28">
        <f>HYPERLINK("https://klasma.github.io/Logging_2560/kartor/A 569-2024 karta.png", "A 569-2024")</f>
        <v/>
      </c>
      <c r="V28">
        <f>HYPERLINK("https://klasma.github.io/Logging_2560/klagomål/A 569-2024 FSC-klagomål.docx", "A 569-2024")</f>
        <v/>
      </c>
      <c r="W28">
        <f>HYPERLINK("https://klasma.github.io/Logging_2560/klagomålsmail/A 569-2024 FSC-klagomål mail.docx", "A 569-2024")</f>
        <v/>
      </c>
      <c r="X28">
        <f>HYPERLINK("https://klasma.github.io/Logging_2560/tillsyn/A 569-2024 tillsynsbegäran.docx", "A 569-2024")</f>
        <v/>
      </c>
      <c r="Y28">
        <f>HYPERLINK("https://klasma.github.io/Logging_2560/tillsynsmail/A 569-2024 tillsynsbegäran mail.docx", "A 569-2024")</f>
        <v/>
      </c>
    </row>
    <row r="29" ht="15" customHeight="1">
      <c r="A29" t="inlineStr">
        <is>
          <t>A 16255-2024</t>
        </is>
      </c>
      <c r="B29" s="1" t="n">
        <v>45407</v>
      </c>
      <c r="C29" s="1" t="n">
        <v>45578</v>
      </c>
      <c r="D29" t="inlineStr">
        <is>
          <t>NORRBOTTENS LÄN</t>
        </is>
      </c>
      <c r="E29" t="inlineStr">
        <is>
          <t>ÄLVSBYN</t>
        </is>
      </c>
      <c r="F29" t="inlineStr">
        <is>
          <t>SCA</t>
        </is>
      </c>
      <c r="G29" t="n">
        <v>18.5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Lappranunkel</t>
        </is>
      </c>
      <c r="S29">
        <f>HYPERLINK("https://klasma.github.io/Logging_2560/artfynd/A 16255-2024 artfynd.xlsx", "A 16255-2024")</f>
        <v/>
      </c>
      <c r="T29">
        <f>HYPERLINK("https://klasma.github.io/Logging_2560/kartor/A 16255-2024 karta.png", "A 16255-2024")</f>
        <v/>
      </c>
      <c r="V29">
        <f>HYPERLINK("https://klasma.github.io/Logging_2560/klagomål/A 16255-2024 FSC-klagomål.docx", "A 16255-2024")</f>
        <v/>
      </c>
      <c r="W29">
        <f>HYPERLINK("https://klasma.github.io/Logging_2560/klagomålsmail/A 16255-2024 FSC-klagomål mail.docx", "A 16255-2024")</f>
        <v/>
      </c>
      <c r="X29">
        <f>HYPERLINK("https://klasma.github.io/Logging_2560/tillsyn/A 16255-2024 tillsynsbegäran.docx", "A 16255-2024")</f>
        <v/>
      </c>
      <c r="Y29">
        <f>HYPERLINK("https://klasma.github.io/Logging_2560/tillsynsmail/A 16255-2024 tillsynsbegäran mail.docx", "A 16255-2024")</f>
        <v/>
      </c>
    </row>
    <row r="30" ht="15" customHeight="1">
      <c r="A30" t="inlineStr">
        <is>
          <t>A 23134-2024</t>
        </is>
      </c>
      <c r="B30" s="1" t="n">
        <v>45450</v>
      </c>
      <c r="C30" s="1" t="n">
        <v>45578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27.4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23134-2024 artfynd.xlsx", "A 23134-2024")</f>
        <v/>
      </c>
      <c r="T30">
        <f>HYPERLINK("https://klasma.github.io/Logging_2560/kartor/A 23134-2024 karta.png", "A 23134-2024")</f>
        <v/>
      </c>
      <c r="V30">
        <f>HYPERLINK("https://klasma.github.io/Logging_2560/klagomål/A 23134-2024 FSC-klagomål.docx", "A 23134-2024")</f>
        <v/>
      </c>
      <c r="W30">
        <f>HYPERLINK("https://klasma.github.io/Logging_2560/klagomålsmail/A 23134-2024 FSC-klagomål mail.docx", "A 23134-2024")</f>
        <v/>
      </c>
      <c r="X30">
        <f>HYPERLINK("https://klasma.github.io/Logging_2560/tillsyn/A 23134-2024 tillsynsbegäran.docx", "A 23134-2024")</f>
        <v/>
      </c>
      <c r="Y30">
        <f>HYPERLINK("https://klasma.github.io/Logging_2560/tillsynsmail/A 23134-2024 tillsynsbegäran mail.docx", "A 23134-2024")</f>
        <v/>
      </c>
    </row>
    <row r="31" ht="15" customHeight="1">
      <c r="A31" t="inlineStr">
        <is>
          <t>A 24386-2024</t>
        </is>
      </c>
      <c r="B31" s="1" t="n">
        <v>45457</v>
      </c>
      <c r="C31" s="1" t="n">
        <v>45578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24386-2024 artfynd.xlsx", "A 24386-2024")</f>
        <v/>
      </c>
      <c r="T31">
        <f>HYPERLINK("https://klasma.github.io/Logging_2560/kartor/A 24386-2024 karta.png", "A 24386-2024")</f>
        <v/>
      </c>
      <c r="V31">
        <f>HYPERLINK("https://klasma.github.io/Logging_2560/klagomål/A 24386-2024 FSC-klagomål.docx", "A 24386-2024")</f>
        <v/>
      </c>
      <c r="W31">
        <f>HYPERLINK("https://klasma.github.io/Logging_2560/klagomålsmail/A 24386-2024 FSC-klagomål mail.docx", "A 24386-2024")</f>
        <v/>
      </c>
      <c r="X31">
        <f>HYPERLINK("https://klasma.github.io/Logging_2560/tillsyn/A 24386-2024 tillsynsbegäran.docx", "A 24386-2024")</f>
        <v/>
      </c>
      <c r="Y31">
        <f>HYPERLINK("https://klasma.github.io/Logging_2560/tillsynsmail/A 24386-2024 tillsynsbegäran mail.docx", "A 24386-2024")</f>
        <v/>
      </c>
    </row>
    <row r="32" ht="15" customHeight="1">
      <c r="A32" t="inlineStr">
        <is>
          <t>A 32818-2024</t>
        </is>
      </c>
      <c r="B32" s="1" t="n">
        <v>45516</v>
      </c>
      <c r="C32" s="1" t="n">
        <v>45578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7.6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32818-2024 artfynd.xlsx", "A 32818-2024")</f>
        <v/>
      </c>
      <c r="T32">
        <f>HYPERLINK("https://klasma.github.io/Logging_2560/kartor/A 32818-2024 karta.png", "A 32818-2024")</f>
        <v/>
      </c>
      <c r="V32">
        <f>HYPERLINK("https://klasma.github.io/Logging_2560/klagomål/A 32818-2024 FSC-klagomål.docx", "A 32818-2024")</f>
        <v/>
      </c>
      <c r="W32">
        <f>HYPERLINK("https://klasma.github.io/Logging_2560/klagomålsmail/A 32818-2024 FSC-klagomål mail.docx", "A 32818-2024")</f>
        <v/>
      </c>
      <c r="X32">
        <f>HYPERLINK("https://klasma.github.io/Logging_2560/tillsyn/A 32818-2024 tillsynsbegäran.docx", "A 32818-2024")</f>
        <v/>
      </c>
      <c r="Y32">
        <f>HYPERLINK("https://klasma.github.io/Logging_2560/tillsynsmail/A 32818-2024 tillsynsbegäran mail.docx", "A 32818-2024")</f>
        <v/>
      </c>
    </row>
    <row r="33" ht="15" customHeight="1">
      <c r="A33" t="inlineStr">
        <is>
          <t>A 40107-2024</t>
        </is>
      </c>
      <c r="B33" s="1" t="n">
        <v>45554</v>
      </c>
      <c r="C33" s="1" t="n">
        <v>45578</v>
      </c>
      <c r="D33" t="inlineStr">
        <is>
          <t>NORRBOTTENS LÄN</t>
        </is>
      </c>
      <c r="E33" t="inlineStr">
        <is>
          <t>ÄLVSBYN</t>
        </is>
      </c>
      <c r="G33" t="n">
        <v>6.4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HYPERLINK("https://klasma.github.io/Logging_2560/artfynd/A 40107-2024 artfynd.xlsx", "A 40107-2024")</f>
        <v/>
      </c>
      <c r="T33">
        <f>HYPERLINK("https://klasma.github.io/Logging_2560/kartor/A 40107-2024 karta.png", "A 40107-2024")</f>
        <v/>
      </c>
      <c r="U33">
        <f>HYPERLINK("https://klasma.github.io/Logging_2560/knärot/A 40107-2024 karta knärot.png", "A 40107-2024")</f>
        <v/>
      </c>
      <c r="V33">
        <f>HYPERLINK("https://klasma.github.io/Logging_2560/klagomål/A 40107-2024 FSC-klagomål.docx", "A 40107-2024")</f>
        <v/>
      </c>
      <c r="W33">
        <f>HYPERLINK("https://klasma.github.io/Logging_2560/klagomålsmail/A 40107-2024 FSC-klagomål mail.docx", "A 40107-2024")</f>
        <v/>
      </c>
      <c r="X33">
        <f>HYPERLINK("https://klasma.github.io/Logging_2560/tillsyn/A 40107-2024 tillsynsbegäran.docx", "A 40107-2024")</f>
        <v/>
      </c>
      <c r="Y33">
        <f>HYPERLINK("https://klasma.github.io/Logging_2560/tillsynsmail/A 40107-2024 tillsynsbegäran mail.docx", "A 40107-2024")</f>
        <v/>
      </c>
      <c r="Z33">
        <f>HYPERLINK("https://klasma.github.io/Logging_2560/fåglar/A 40107-2024 prioriterade fågelarter.docx", "A 40107-2024")</f>
        <v/>
      </c>
    </row>
    <row r="34" ht="15" customHeight="1">
      <c r="A34" t="inlineStr">
        <is>
          <t>A 40109-2024</t>
        </is>
      </c>
      <c r="B34" s="1" t="n">
        <v>45554</v>
      </c>
      <c r="C34" s="1" t="n">
        <v>45578</v>
      </c>
      <c r="D34" t="inlineStr">
        <is>
          <t>NORRBOTTENS LÄN</t>
        </is>
      </c>
      <c r="E34" t="inlineStr">
        <is>
          <t>ÄLVSBYN</t>
        </is>
      </c>
      <c r="G34" t="n">
        <v>7.7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Tretåig hackspett</t>
        </is>
      </c>
      <c r="S34">
        <f>HYPERLINK("https://klasma.github.io/Logging_2560/artfynd/A 40109-2024 artfynd.xlsx", "A 40109-2024")</f>
        <v/>
      </c>
      <c r="T34">
        <f>HYPERLINK("https://klasma.github.io/Logging_2560/kartor/A 40109-2024 karta.png", "A 40109-2024")</f>
        <v/>
      </c>
      <c r="U34">
        <f>HYPERLINK("https://klasma.github.io/Logging_2560/knärot/A 40109-2024 karta knärot.png", "A 40109-2024")</f>
        <v/>
      </c>
      <c r="V34">
        <f>HYPERLINK("https://klasma.github.io/Logging_2560/klagomål/A 40109-2024 FSC-klagomål.docx", "A 40109-2024")</f>
        <v/>
      </c>
      <c r="W34">
        <f>HYPERLINK("https://klasma.github.io/Logging_2560/klagomålsmail/A 40109-2024 FSC-klagomål mail.docx", "A 40109-2024")</f>
        <v/>
      </c>
      <c r="X34">
        <f>HYPERLINK("https://klasma.github.io/Logging_2560/tillsyn/A 40109-2024 tillsynsbegäran.docx", "A 40109-2024")</f>
        <v/>
      </c>
      <c r="Y34">
        <f>HYPERLINK("https://klasma.github.io/Logging_2560/tillsynsmail/A 40109-2024 tillsynsbegäran mail.docx", "A 40109-2024")</f>
        <v/>
      </c>
      <c r="Z34">
        <f>HYPERLINK("https://klasma.github.io/Logging_2560/fåglar/A 40109-2024 prioriterade fågelarter.docx", "A 40109-2024")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45578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45578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45578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45578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45578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45578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45578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45578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45578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45578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45578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45578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45578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45578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45578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45578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45578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45578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45578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45578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45578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45578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45578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45578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45578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45578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45578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45578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45578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45578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45578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45578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45578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45578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45578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45578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45578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45578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45578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45578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45578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45578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45578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45578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45578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45578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45578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45578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45578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45578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45578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45578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45578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45578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45578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45578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45578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45578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45578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45578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45578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45578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45578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45578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45578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45578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45578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45578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45578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45578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45578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45578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45578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45578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45578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45578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45578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45578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45578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45578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45578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45578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45578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45578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45578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45578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45578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45578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45578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45578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45578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45578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45578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45578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45578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45578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45578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45578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45578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45578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45578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45578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45578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45578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45578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45578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45578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45578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45578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45578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45578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45578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45578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45578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45578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45578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45578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45578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45578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45578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45578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45578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45578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45578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45578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45578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45578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45578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45578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45578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45578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45578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45578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45578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45578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45578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45578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45578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45578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45578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45578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45578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45578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45578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45578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45578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45578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45578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45578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45578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45578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45578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45578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45578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45578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45578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45578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45578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45578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45578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45578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45578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45578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45578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45578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45578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45578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45578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45578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45578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45578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45578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45578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45578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45578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45578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45578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45578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45578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45578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45578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45578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45578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45578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45578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45578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45578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45578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45578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45578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45578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45578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45578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45578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45578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45578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45578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45578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45578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45578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45578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45578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45578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45578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45578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45578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45578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45578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45578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45578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45578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45578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45578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45578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45578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45578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45578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45578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45578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45578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45578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45578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45578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45578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45578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45578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45578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45578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45578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45578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45578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45578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45578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45578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45578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45578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45578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45578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45578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45578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45578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45578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45578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45578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45578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45578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45578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45578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45578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45578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45578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45578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45578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45578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45578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45578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45578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45578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45578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45578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45578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45578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45578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45578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45578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45578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45578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45578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45578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45578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45578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45578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45578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45578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45578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45578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45578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45578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45578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45578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45578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45578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45578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45578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45578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45578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45578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45578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45578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45578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45578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45578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45578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45578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45578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45578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45578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45578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45578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45578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45578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45578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45578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45578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45578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45578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45578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45578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45578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45578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45578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45578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45578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45578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45578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45578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45578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45578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45578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45578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45578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45578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45578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45578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45578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45578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45578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45578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45578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45578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45578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45578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45578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45578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45578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45578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45578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45578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45578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45578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45578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45578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45578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45578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45578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45578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45578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45578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45578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45578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45578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45578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45578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45578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45578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45578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45578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45578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45578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45578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45578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45578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45578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45578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45578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45578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45578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45578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45578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45578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45578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45578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45578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45578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45578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45578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45578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45578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45578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45578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45578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45578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45578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45578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45578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45578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45578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45578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45578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45578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45578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45578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45578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45578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45578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45578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45578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45578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45578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45578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45578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45578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45578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45578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45578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45578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45578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45578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45578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45578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45578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45578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45578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45578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45578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45578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45578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45578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45578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45578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45578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45578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45578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45578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45578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45578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45578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45578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45578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45578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45578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45578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45578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45578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45578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45578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45578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45578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45578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45578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45578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45578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45578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45578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45578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45578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45578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45578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45578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45578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45578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45578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45578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45578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45578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45578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45578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45578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45578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45578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45578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45578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45578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45578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45578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45578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45578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45578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45578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45578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45578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45578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45578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45578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45578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45578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45578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45578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45578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45578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45578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45578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45578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45578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45578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45578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45578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45578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45578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45578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45578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45578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45578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45578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45578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45578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45578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45578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45578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45578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45578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45578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45578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45578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45578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45578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45578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45578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45578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45578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45578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45578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45578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45578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45578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45578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45578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45578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45578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45578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45578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45578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45578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45578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45578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45578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45578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45578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45578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45578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45578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45578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45578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45578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45578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45578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45578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45578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45578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45578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45578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45578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45578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45578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45578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45578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45578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45578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45578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45578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45578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45578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45578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45578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39604-2024</t>
        </is>
      </c>
      <c r="B589" s="1" t="n">
        <v>45552</v>
      </c>
      <c r="C589" s="1" t="n">
        <v>45578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39645-2024</t>
        </is>
      </c>
      <c r="B590" s="1" t="n">
        <v>45552</v>
      </c>
      <c r="C590" s="1" t="n">
        <v>45578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39668-2024</t>
        </is>
      </c>
      <c r="B591" s="1" t="n">
        <v>45552</v>
      </c>
      <c r="C591" s="1" t="n">
        <v>45578</v>
      </c>
      <c r="D591" t="inlineStr">
        <is>
          <t>NORRBOTTENS LÄN</t>
        </is>
      </c>
      <c r="E591" t="inlineStr">
        <is>
          <t>ÄLVSBYN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40284-2024</t>
        </is>
      </c>
      <c r="B592" s="1" t="n">
        <v>45554</v>
      </c>
      <c r="C592" s="1" t="n">
        <v>45578</v>
      </c>
      <c r="D592" t="inlineStr">
        <is>
          <t>NORRBOTTENS LÄN</t>
        </is>
      </c>
      <c r="E592" t="inlineStr">
        <is>
          <t>ÄLVSBYN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40282-2024</t>
        </is>
      </c>
      <c r="B593" s="1" t="n">
        <v>45554</v>
      </c>
      <c r="C593" s="1" t="n">
        <v>45578</v>
      </c>
      <c r="D593" t="inlineStr">
        <is>
          <t>NORRBOTTENS LÄN</t>
        </is>
      </c>
      <c r="E593" t="inlineStr">
        <is>
          <t>ÄLVSBYN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45578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41845-2024</t>
        </is>
      </c>
      <c r="B595" s="1" t="n">
        <v>45561</v>
      </c>
      <c r="C595" s="1" t="n">
        <v>45578</v>
      </c>
      <c r="D595" t="inlineStr">
        <is>
          <t>NORRBOTTENS LÄN</t>
        </is>
      </c>
      <c r="E595" t="inlineStr">
        <is>
          <t>ÄLVSBYN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41964-2024</t>
        </is>
      </c>
      <c r="B596" s="1" t="n">
        <v>45561</v>
      </c>
      <c r="C596" s="1" t="n">
        <v>45578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41989-2024</t>
        </is>
      </c>
      <c r="B597" s="1" t="n">
        <v>45561</v>
      </c>
      <c r="C597" s="1" t="n">
        <v>45578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42444-2024</t>
        </is>
      </c>
      <c r="B598" s="1" t="n">
        <v>45565</v>
      </c>
      <c r="C598" s="1" t="n">
        <v>45578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42477-2024</t>
        </is>
      </c>
      <c r="B599" s="1" t="n">
        <v>45565</v>
      </c>
      <c r="C599" s="1" t="n">
        <v>45578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42505-2024</t>
        </is>
      </c>
      <c r="B600" s="1" t="n">
        <v>45565</v>
      </c>
      <c r="C600" s="1" t="n">
        <v>45578</v>
      </c>
      <c r="D600" t="inlineStr">
        <is>
          <t>NORRBOTTENS LÄN</t>
        </is>
      </c>
      <c r="E600" t="inlineStr">
        <is>
          <t>ÄLVSBYN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42568-2024</t>
        </is>
      </c>
      <c r="B601" s="1" t="n">
        <v>45565</v>
      </c>
      <c r="C601" s="1" t="n">
        <v>45578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42506-2024</t>
        </is>
      </c>
      <c r="B602" s="1" t="n">
        <v>45565</v>
      </c>
      <c r="C602" s="1" t="n">
        <v>45578</v>
      </c>
      <c r="D602" t="inlineStr">
        <is>
          <t>NORRBOTTENS LÄN</t>
        </is>
      </c>
      <c r="E602" t="inlineStr">
        <is>
          <t>ÄLVSBYN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42475-2024</t>
        </is>
      </c>
      <c r="B603" s="1" t="n">
        <v>45565</v>
      </c>
      <c r="C603" s="1" t="n">
        <v>45578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42483-2024</t>
        </is>
      </c>
      <c r="B604" s="1" t="n">
        <v>45565</v>
      </c>
      <c r="C604" s="1" t="n">
        <v>45578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42499-2024</t>
        </is>
      </c>
      <c r="B605" s="1" t="n">
        <v>45565</v>
      </c>
      <c r="C605" s="1" t="n">
        <v>45578</v>
      </c>
      <c r="D605" t="inlineStr">
        <is>
          <t>NORRBOTTENS LÄN</t>
        </is>
      </c>
      <c r="E605" t="inlineStr">
        <is>
          <t>ÄLVSBYN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42558-2024</t>
        </is>
      </c>
      <c r="B606" s="1" t="n">
        <v>45565</v>
      </c>
      <c r="C606" s="1" t="n">
        <v>45578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42574-2024</t>
        </is>
      </c>
      <c r="B607" s="1" t="n">
        <v>45565</v>
      </c>
      <c r="C607" s="1" t="n">
        <v>45578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45578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45578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43776-2024</t>
        </is>
      </c>
      <c r="B610" s="1" t="n">
        <v>45570</v>
      </c>
      <c r="C610" s="1" t="n">
        <v>45578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43775-2024</t>
        </is>
      </c>
      <c r="B611" s="1" t="n">
        <v>45570</v>
      </c>
      <c r="C611" s="1" t="n">
        <v>45578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44252-2024</t>
        </is>
      </c>
      <c r="B612" s="1" t="n">
        <v>45573</v>
      </c>
      <c r="C612" s="1" t="n">
        <v>45578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44213-2024</t>
        </is>
      </c>
      <c r="B613" s="1" t="n">
        <v>45573</v>
      </c>
      <c r="C613" s="1" t="n">
        <v>45578</v>
      </c>
      <c r="D613" t="inlineStr">
        <is>
          <t>NORRBOTTENS LÄN</t>
        </is>
      </c>
      <c r="E613" t="inlineStr">
        <is>
          <t>ÄLVSBYN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44255-2024</t>
        </is>
      </c>
      <c r="B614" s="1" t="n">
        <v>45573</v>
      </c>
      <c r="C614" s="1" t="n">
        <v>45578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44348-2024</t>
        </is>
      </c>
      <c r="B615" s="1" t="n">
        <v>45573</v>
      </c>
      <c r="C615" s="1" t="n">
        <v>45578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44365-2024</t>
        </is>
      </c>
      <c r="B616" s="1" t="n">
        <v>45573</v>
      </c>
      <c r="C616" s="1" t="n">
        <v>45578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45578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45316-2024</t>
        </is>
      </c>
      <c r="B618" s="1" t="n">
        <v>45576</v>
      </c>
      <c r="C618" s="1" t="n">
        <v>45578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45302-2024</t>
        </is>
      </c>
      <c r="B619" s="1" t="n">
        <v>45576</v>
      </c>
      <c r="C619" s="1" t="n">
        <v>45578</v>
      </c>
      <c r="D619" t="inlineStr">
        <is>
          <t>NORRBOTTENS LÄN</t>
        </is>
      </c>
      <c r="E619" t="inlineStr">
        <is>
          <t>ÄLVSBYN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45310-2024</t>
        </is>
      </c>
      <c r="B620" s="1" t="n">
        <v>45576</v>
      </c>
      <c r="C620" s="1" t="n">
        <v>45578</v>
      </c>
      <c r="D620" t="inlineStr">
        <is>
          <t>NORRBOTTENS LÄN</t>
        </is>
      </c>
      <c r="E620" t="inlineStr">
        <is>
          <t>ÄLVSBYN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45314-2024</t>
        </is>
      </c>
      <c r="B621" s="1" t="n">
        <v>45576</v>
      </c>
      <c r="C621" s="1" t="n">
        <v>45578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45317-2024</t>
        </is>
      </c>
      <c r="B622" s="1" t="n">
        <v>45576</v>
      </c>
      <c r="C622" s="1" t="n">
        <v>45578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2024-10-13T12:18:51Z</dcterms:created>
  <dcterms:modified xmlns:dcterms="http://purl.org/dc/terms/" xmlns:xsi="http://www.w3.org/2001/XMLSchema-instance" xsi:type="dcterms:W3CDTF">2024-10-13T12:18:52Z</dcterms:modified>
</cp:coreProperties>
</file>