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45886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45886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45886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45886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45886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45886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45886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45886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45886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34304-2025</t>
        </is>
      </c>
      <c r="B21" s="1" t="n">
        <v>45846.35324074074</v>
      </c>
      <c r="C21" s="1" t="n">
        <v>45886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35.7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Fläcknycklar
Revlummer</t>
        </is>
      </c>
      <c r="S21">
        <f>HYPERLINK("https://klasma.github.io/Logging_2560/artfynd/A 34304-2025 artfynd.xlsx", "A 34304-2025")</f>
        <v/>
      </c>
      <c r="T21">
        <f>HYPERLINK("https://klasma.github.io/Logging_2560/kartor/A 34304-2025 karta.png", "A 34304-2025")</f>
        <v/>
      </c>
      <c r="V21">
        <f>HYPERLINK("https://klasma.github.io/Logging_2560/klagomål/A 34304-2025 FSC-klagomål.docx", "A 34304-2025")</f>
        <v/>
      </c>
      <c r="W21">
        <f>HYPERLINK("https://klasma.github.io/Logging_2560/klagomålsmail/A 34304-2025 FSC-klagomål mail.docx", "A 34304-2025")</f>
        <v/>
      </c>
      <c r="X21">
        <f>HYPERLINK("https://klasma.github.io/Logging_2560/tillsyn/A 34304-2025 tillsynsbegäran.docx", "A 34304-2025")</f>
        <v/>
      </c>
      <c r="Y21">
        <f>HYPERLINK("https://klasma.github.io/Logging_2560/tillsynsmail/A 34304-2025 tillsynsbegäran mail.docx", "A 34304-2025")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45886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45886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45886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52177-2021</t>
        </is>
      </c>
      <c r="B27" s="1" t="n">
        <v>44463</v>
      </c>
      <c r="C27" s="1" t="n">
        <v>45886</v>
      </c>
      <c r="D27" t="inlineStr">
        <is>
          <t>NORRBOTTENS LÄN</t>
        </is>
      </c>
      <c r="E27" t="inlineStr">
        <is>
          <t>ÄLVSBYN</t>
        </is>
      </c>
      <c r="G27" t="n">
        <v>36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Tjäder</t>
        </is>
      </c>
      <c r="S27">
        <f>HYPERLINK("https://klasma.github.io/Logging_2560/artfynd/A 52177-2021 artfynd.xlsx", "A 52177-2021")</f>
        <v/>
      </c>
      <c r="T27">
        <f>HYPERLINK("https://klasma.github.io/Logging_2560/kartor/A 52177-2021 karta.png", "A 52177-2021")</f>
        <v/>
      </c>
      <c r="V27">
        <f>HYPERLINK("https://klasma.github.io/Logging_2560/klagomål/A 52177-2021 FSC-klagomål.docx", "A 52177-2021")</f>
        <v/>
      </c>
      <c r="W27">
        <f>HYPERLINK("https://klasma.github.io/Logging_2560/klagomålsmail/A 52177-2021 FSC-klagomål mail.docx", "A 52177-2021")</f>
        <v/>
      </c>
      <c r="X27">
        <f>HYPERLINK("https://klasma.github.io/Logging_2560/tillsyn/A 52177-2021 tillsynsbegäran.docx", "A 52177-2021")</f>
        <v/>
      </c>
      <c r="Y27">
        <f>HYPERLINK("https://klasma.github.io/Logging_2560/tillsynsmail/A 52177-2021 tillsynsbegäran mail.docx", "A 52177-2021")</f>
        <v/>
      </c>
      <c r="Z27">
        <f>HYPERLINK("https://klasma.github.io/Logging_2560/fåglar/A 52177-2021 prioriterade fågelarter.docx", "A 52177-2021")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45886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45886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45886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45886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45886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45886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45886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32818-2024</t>
        </is>
      </c>
      <c r="B35" s="1" t="n">
        <v>45516</v>
      </c>
      <c r="C35" s="1" t="n">
        <v>45886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7.6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32818-2024 artfynd.xlsx", "A 32818-2024")</f>
        <v/>
      </c>
      <c r="T35">
        <f>HYPERLINK("https://klasma.github.io/Logging_2560/kartor/A 32818-2024 karta.png", "A 32818-2024")</f>
        <v/>
      </c>
      <c r="V35">
        <f>HYPERLINK("https://klasma.github.io/Logging_2560/klagomål/A 32818-2024 FSC-klagomål.docx", "A 32818-2024")</f>
        <v/>
      </c>
      <c r="W35">
        <f>HYPERLINK("https://klasma.github.io/Logging_2560/klagomålsmail/A 32818-2024 FSC-klagomål mail.docx", "A 32818-2024")</f>
        <v/>
      </c>
      <c r="X35">
        <f>HYPERLINK("https://klasma.github.io/Logging_2560/tillsyn/A 32818-2024 tillsynsbegäran.docx", "A 32818-2024")</f>
        <v/>
      </c>
      <c r="Y35">
        <f>HYPERLINK("https://klasma.github.io/Logging_2560/tillsynsmail/A 32818-2024 tillsynsbegäran mail.docx", "A 32818-2024")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45886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45886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23790-2025</t>
        </is>
      </c>
      <c r="B41" s="1" t="n">
        <v>45793</v>
      </c>
      <c r="C41" s="1" t="n">
        <v>45886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HYPERLINK("https://klasma.github.io/Logging_2560/artfynd/A 23790-2025 artfynd.xlsx", "A 23790-2025")</f>
        <v/>
      </c>
      <c r="T41">
        <f>HYPERLINK("https://klasma.github.io/Logging_2560/kartor/A 23790-2025 karta.png", "A 23790-2025")</f>
        <v/>
      </c>
      <c r="V41">
        <f>HYPERLINK("https://klasma.github.io/Logging_2560/klagomål/A 23790-2025 FSC-klagomål.docx", "A 23790-2025")</f>
        <v/>
      </c>
      <c r="W41">
        <f>HYPERLINK("https://klasma.github.io/Logging_2560/klagomålsmail/A 23790-2025 FSC-klagomål mail.docx", "A 23790-2025")</f>
        <v/>
      </c>
      <c r="X41">
        <f>HYPERLINK("https://klasma.github.io/Logging_2560/tillsyn/A 23790-2025 tillsynsbegäran.docx", "A 23790-2025")</f>
        <v/>
      </c>
      <c r="Y41">
        <f>HYPERLINK("https://klasma.github.io/Logging_2560/tillsynsmail/A 23790-2025 tillsynsbegäran mail.docx", "A 23790-2025")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45886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42680-2022</t>
        </is>
      </c>
      <c r="B43" s="1" t="n">
        <v>44832.34037037037</v>
      </c>
      <c r="C43" s="1" t="n">
        <v>45886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42680-2022 artfynd.xlsx", "A 42680-2022")</f>
        <v/>
      </c>
      <c r="T43">
        <f>HYPERLINK("https://klasma.github.io/Logging_2560/kartor/A 42680-2022 karta.png", "A 42680-2022")</f>
        <v/>
      </c>
      <c r="V43">
        <f>HYPERLINK("https://klasma.github.io/Logging_2560/klagomål/A 42680-2022 FSC-klagomål.docx", "A 42680-2022")</f>
        <v/>
      </c>
      <c r="W43">
        <f>HYPERLINK("https://klasma.github.io/Logging_2560/klagomålsmail/A 42680-2022 FSC-klagomål mail.docx", "A 42680-2022")</f>
        <v/>
      </c>
      <c r="X43">
        <f>HYPERLINK("https://klasma.github.io/Logging_2560/tillsyn/A 42680-2022 tillsynsbegäran.docx", "A 42680-2022")</f>
        <v/>
      </c>
      <c r="Y43">
        <f>HYPERLINK("https://klasma.github.io/Logging_2560/tillsynsmail/A 42680-2022 tillsynsbegäran mail.docx", "A 42680-2022")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45886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34544-2025</t>
        </is>
      </c>
      <c r="B45" s="1" t="n">
        <v>45847</v>
      </c>
      <c r="C45" s="1" t="n">
        <v>45886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34544-2025 artfynd.xlsx", "A 34544-2025")</f>
        <v/>
      </c>
      <c r="T45">
        <f>HYPERLINK("https://klasma.github.io/Logging_2560/kartor/A 34544-2025 karta.png", "A 34544-2025")</f>
        <v/>
      </c>
      <c r="V45">
        <f>HYPERLINK("https://klasma.github.io/Logging_2560/klagomål/A 34544-2025 FSC-klagomål.docx", "A 34544-2025")</f>
        <v/>
      </c>
      <c r="W45">
        <f>HYPERLINK("https://klasma.github.io/Logging_2560/klagomålsmail/A 34544-2025 FSC-klagomål mail.docx", "A 34544-2025")</f>
        <v/>
      </c>
      <c r="X45">
        <f>HYPERLINK("https://klasma.github.io/Logging_2560/tillsyn/A 34544-2025 tillsynsbegäran.docx", "A 34544-2025")</f>
        <v/>
      </c>
      <c r="Y45">
        <f>HYPERLINK("https://klasma.github.io/Logging_2560/tillsynsmail/A 34544-2025 tillsynsbegäran mail.docx", "A 34544-2025")</f>
        <v/>
      </c>
    </row>
    <row r="46" ht="15" customHeight="1">
      <c r="A46" t="inlineStr">
        <is>
          <t>A 20466-2025</t>
        </is>
      </c>
      <c r="B46" s="1" t="n">
        <v>45775</v>
      </c>
      <c r="C46" s="1" t="n">
        <v>45886</v>
      </c>
      <c r="D46" t="inlineStr">
        <is>
          <t>NORRBOTTENS LÄN</t>
        </is>
      </c>
      <c r="E46" t="inlineStr">
        <is>
          <t>ÄLVSBYN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HYPERLINK("https://klasma.github.io/Logging_2560/artfynd/A 20466-2025 artfynd.xlsx", "A 20466-2025")</f>
        <v/>
      </c>
      <c r="T46">
        <f>HYPERLINK("https://klasma.github.io/Logging_2560/kartor/A 20466-2025 karta.png", "A 20466-2025")</f>
        <v/>
      </c>
      <c r="V46">
        <f>HYPERLINK("https://klasma.github.io/Logging_2560/klagomål/A 20466-2025 FSC-klagomål.docx", "A 20466-2025")</f>
        <v/>
      </c>
      <c r="W46">
        <f>HYPERLINK("https://klasma.github.io/Logging_2560/klagomålsmail/A 20466-2025 FSC-klagomål mail.docx", "A 20466-2025")</f>
        <v/>
      </c>
      <c r="X46">
        <f>HYPERLINK("https://klasma.github.io/Logging_2560/tillsyn/A 20466-2025 tillsynsbegäran.docx", "A 20466-2025")</f>
        <v/>
      </c>
      <c r="Y46">
        <f>HYPERLINK("https://klasma.github.io/Logging_2560/tillsynsmail/A 20466-2025 tillsynsbegäran mail.docx", "A 20466-2025")</f>
        <v/>
      </c>
    </row>
    <row r="47" ht="15" customHeight="1">
      <c r="A47" t="inlineStr">
        <is>
          <t>A 33234-2025</t>
        </is>
      </c>
      <c r="B47" s="1" t="n">
        <v>45840.64365740741</v>
      </c>
      <c r="C47" s="1" t="n">
        <v>45886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33234-2025 artfynd.xlsx", "A 33234-2025")</f>
        <v/>
      </c>
      <c r="T47">
        <f>HYPERLINK("https://klasma.github.io/Logging_2560/kartor/A 33234-2025 karta.png", "A 33234-2025")</f>
        <v/>
      </c>
      <c r="V47">
        <f>HYPERLINK("https://klasma.github.io/Logging_2560/klagomål/A 33234-2025 FSC-klagomål.docx", "A 33234-2025")</f>
        <v/>
      </c>
      <c r="W47">
        <f>HYPERLINK("https://klasma.github.io/Logging_2560/klagomålsmail/A 33234-2025 FSC-klagomål mail.docx", "A 33234-2025")</f>
        <v/>
      </c>
      <c r="X47">
        <f>HYPERLINK("https://klasma.github.io/Logging_2560/tillsyn/A 33234-2025 tillsynsbegäran.docx", "A 33234-2025")</f>
        <v/>
      </c>
      <c r="Y47">
        <f>HYPERLINK("https://klasma.github.io/Logging_2560/tillsynsmail/A 33234-2025 tillsynsbegäran mail.docx", "A 33234-2025")</f>
        <v/>
      </c>
      <c r="Z47">
        <f>HYPERLINK("https://klasma.github.io/Logging_2560/fåglar/A 33234-2025 prioriterade fågelarter.docx", "A 33234-2025")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45886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45886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45886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45886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45886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45886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45886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44756-2020</t>
        </is>
      </c>
      <c r="B55" s="1" t="n">
        <v>44085</v>
      </c>
      <c r="C55" s="1" t="n">
        <v>45886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44716-2020</t>
        </is>
      </c>
      <c r="B56" s="1" t="n">
        <v>44085</v>
      </c>
      <c r="C56" s="1" t="n">
        <v>45886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54412-2020</t>
        </is>
      </c>
      <c r="B57" s="1" t="n">
        <v>44125</v>
      </c>
      <c r="C57" s="1" t="n">
        <v>45886</v>
      </c>
      <c r="D57" t="inlineStr">
        <is>
          <t>NORRBOTTENS LÄN</t>
        </is>
      </c>
      <c r="E57" t="inlineStr">
        <is>
          <t>ÄLVSBYN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48103-2021</t>
        </is>
      </c>
      <c r="B58" s="1" t="n">
        <v>44449.44953703704</v>
      </c>
      <c r="C58" s="1" t="n">
        <v>45886</v>
      </c>
      <c r="D58" t="inlineStr">
        <is>
          <t>NORRBOTTENS LÄN</t>
        </is>
      </c>
      <c r="E58" t="inlineStr">
        <is>
          <t>ÄLVSBYN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14866-2021</t>
        </is>
      </c>
      <c r="B59" s="1" t="n">
        <v>44280</v>
      </c>
      <c r="C59" s="1" t="n">
        <v>45886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26406-2022</t>
        </is>
      </c>
      <c r="B60" s="1" t="n">
        <v>44735.94076388889</v>
      </c>
      <c r="C60" s="1" t="n">
        <v>45886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51063-2022</t>
        </is>
      </c>
      <c r="B61" s="1" t="n">
        <v>44868</v>
      </c>
      <c r="C61" s="1" t="n">
        <v>45886</v>
      </c>
      <c r="D61" t="inlineStr">
        <is>
          <t>NORRBOTTENS LÄN</t>
        </is>
      </c>
      <c r="E61" t="inlineStr">
        <is>
          <t>ÄLVSBYN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26579-2022</t>
        </is>
      </c>
      <c r="B62" s="1" t="n">
        <v>44739</v>
      </c>
      <c r="C62" s="1" t="n">
        <v>45886</v>
      </c>
      <c r="D62" t="inlineStr">
        <is>
          <t>NORRBOTTENS LÄN</t>
        </is>
      </c>
      <c r="E62" t="inlineStr">
        <is>
          <t>ÄLVSBYN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73648-2021</t>
        </is>
      </c>
      <c r="B63" s="1" t="n">
        <v>44552.44517361111</v>
      </c>
      <c r="C63" s="1" t="n">
        <v>45886</v>
      </c>
      <c r="D63" t="inlineStr">
        <is>
          <t>NORRBOTTENS LÄN</t>
        </is>
      </c>
      <c r="E63" t="inlineStr">
        <is>
          <t>ÄLVSBYN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59483-2021</t>
        </is>
      </c>
      <c r="B64" s="1" t="n">
        <v>44491.52248842592</v>
      </c>
      <c r="C64" s="1" t="n">
        <v>45886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59487-2021</t>
        </is>
      </c>
      <c r="B65" s="1" t="n">
        <v>44491</v>
      </c>
      <c r="C65" s="1" t="n">
        <v>45886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50917-2021</t>
        </is>
      </c>
      <c r="B66" s="1" t="n">
        <v>44460</v>
      </c>
      <c r="C66" s="1" t="n">
        <v>45886</v>
      </c>
      <c r="D66" t="inlineStr">
        <is>
          <t>NORRBOTTENS LÄN</t>
        </is>
      </c>
      <c r="E66" t="inlineStr">
        <is>
          <t>ÄLVSBYN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67103-2021</t>
        </is>
      </c>
      <c r="B67" s="1" t="n">
        <v>44522</v>
      </c>
      <c r="C67" s="1" t="n">
        <v>45886</v>
      </c>
      <c r="D67" t="inlineStr">
        <is>
          <t>NORRBOTTENS LÄN</t>
        </is>
      </c>
      <c r="E67" t="inlineStr">
        <is>
          <t>ÄLVSBYN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51993-2021</t>
        </is>
      </c>
      <c r="B68" s="1" t="n">
        <v>44463.32685185185</v>
      </c>
      <c r="C68" s="1" t="n">
        <v>45886</v>
      </c>
      <c r="D68" t="inlineStr">
        <is>
          <t>NORRBOTTENS LÄN</t>
        </is>
      </c>
      <c r="E68" t="inlineStr">
        <is>
          <t>ÄLVSBYN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73589-2021</t>
        </is>
      </c>
      <c r="B70" s="1" t="n">
        <v>44552.36655092592</v>
      </c>
      <c r="C70" s="1" t="n">
        <v>45886</v>
      </c>
      <c r="D70" t="inlineStr">
        <is>
          <t>NORRBOTTENS LÄN</t>
        </is>
      </c>
      <c r="E70" t="inlineStr">
        <is>
          <t>ÄLVSBYN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49843-2021</t>
        </is>
      </c>
      <c r="B71" s="1" t="n">
        <v>44455</v>
      </c>
      <c r="C71" s="1" t="n">
        <v>45886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44758-2020</t>
        </is>
      </c>
      <c r="B72" s="1" t="n">
        <v>44085</v>
      </c>
      <c r="C72" s="1" t="n">
        <v>45886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45886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46307-2022</t>
        </is>
      </c>
      <c r="B74" s="1" t="n">
        <v>44847</v>
      </c>
      <c r="C74" s="1" t="n">
        <v>45886</v>
      </c>
      <c r="D74" t="inlineStr">
        <is>
          <t>NORRBOTTENS LÄN</t>
        </is>
      </c>
      <c r="E74" t="inlineStr">
        <is>
          <t>ÄLVSBYN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45886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45886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23063-2021</t>
        </is>
      </c>
      <c r="B77" s="1" t="n">
        <v>44329.85693287037</v>
      </c>
      <c r="C77" s="1" t="n">
        <v>45886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49773-2021</t>
        </is>
      </c>
      <c r="B78" s="1" t="n">
        <v>44455</v>
      </c>
      <c r="C78" s="1" t="n">
        <v>45886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46881-2021</t>
        </is>
      </c>
      <c r="B79" s="1" t="n">
        <v>44446</v>
      </c>
      <c r="C79" s="1" t="n">
        <v>45886</v>
      </c>
      <c r="D79" t="inlineStr">
        <is>
          <t>NORRBOTTENS LÄN</t>
        </is>
      </c>
      <c r="E79" t="inlineStr">
        <is>
          <t>ÄLVSBYN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50744-2021</t>
        </is>
      </c>
      <c r="B80" s="1" t="n">
        <v>44460</v>
      </c>
      <c r="C80" s="1" t="n">
        <v>45886</v>
      </c>
      <c r="D80" t="inlineStr">
        <is>
          <t>NORRBOTTENS LÄN</t>
        </is>
      </c>
      <c r="E80" t="inlineStr">
        <is>
          <t>ÄLVSBYN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27202-2022</t>
        </is>
      </c>
      <c r="B81" s="1" t="n">
        <v>44741.61087962963</v>
      </c>
      <c r="C81" s="1" t="n">
        <v>45886</v>
      </c>
      <c r="D81" t="inlineStr">
        <is>
          <t>NORRBOTTENS LÄN</t>
        </is>
      </c>
      <c r="E81" t="inlineStr">
        <is>
          <t>ÄLVSBYN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27277-2022</t>
        </is>
      </c>
      <c r="B82" s="1" t="n">
        <v>44741.92667824074</v>
      </c>
      <c r="C82" s="1" t="n">
        <v>45886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45886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45886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45886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65410-2021</t>
        </is>
      </c>
      <c r="B87" s="1" t="n">
        <v>44515.9200462963</v>
      </c>
      <c r="C87" s="1" t="n">
        <v>45886</v>
      </c>
      <c r="D87" t="inlineStr">
        <is>
          <t>NORRBOTTENS LÄN</t>
        </is>
      </c>
      <c r="E87" t="inlineStr">
        <is>
          <t>ÄLVSBYN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45886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45886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45886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45886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45886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45886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45886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55078-2024</t>
        </is>
      </c>
      <c r="B95" s="1" t="n">
        <v>45621</v>
      </c>
      <c r="C95" s="1" t="n">
        <v>45886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39645-2024</t>
        </is>
      </c>
      <c r="B96" s="1" t="n">
        <v>45552.46903935185</v>
      </c>
      <c r="C96" s="1" t="n">
        <v>45886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45886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6820-2022</t>
        </is>
      </c>
      <c r="B98" s="1" t="n">
        <v>44602</v>
      </c>
      <c r="C98" s="1" t="n">
        <v>45886</v>
      </c>
      <c r="D98" t="inlineStr">
        <is>
          <t>NORRBOTTENS LÄN</t>
        </is>
      </c>
      <c r="E98" t="inlineStr">
        <is>
          <t>ÄLVSBYN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5646-2024</t>
        </is>
      </c>
      <c r="B99" s="1" t="n">
        <v>45334.62170138889</v>
      </c>
      <c r="C99" s="1" t="n">
        <v>45886</v>
      </c>
      <c r="D99" t="inlineStr">
        <is>
          <t>NORRBOTTENS LÄN</t>
        </is>
      </c>
      <c r="E99" t="inlineStr">
        <is>
          <t>ÄLVSBYN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54317-2023</t>
        </is>
      </c>
      <c r="B100" s="1" t="n">
        <v>45232</v>
      </c>
      <c r="C100" s="1" t="n">
        <v>45886</v>
      </c>
      <c r="D100" t="inlineStr">
        <is>
          <t>NORRBOTTENS LÄN</t>
        </is>
      </c>
      <c r="E100" t="inlineStr">
        <is>
          <t>ÄLVSBYN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45886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12440-2024</t>
        </is>
      </c>
      <c r="B102" s="1" t="n">
        <v>45379</v>
      </c>
      <c r="C102" s="1" t="n">
        <v>45886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10249-2024</t>
        </is>
      </c>
      <c r="B103" s="1" t="n">
        <v>45365.3860300926</v>
      </c>
      <c r="C103" s="1" t="n">
        <v>45886</v>
      </c>
      <c r="D103" t="inlineStr">
        <is>
          <t>NORRBOTTENS LÄN</t>
        </is>
      </c>
      <c r="E103" t="inlineStr">
        <is>
          <t>ÄLVSBYN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15389-2025</t>
        </is>
      </c>
      <c r="B104" s="1" t="n">
        <v>45747</v>
      </c>
      <c r="C104" s="1" t="n">
        <v>45886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45886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45886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45886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45886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50310-2024</t>
        </is>
      </c>
      <c r="B109" s="1" t="n">
        <v>45600</v>
      </c>
      <c r="C109" s="1" t="n">
        <v>45886</v>
      </c>
      <c r="D109" t="inlineStr">
        <is>
          <t>NORRBOTTENS LÄN</t>
        </is>
      </c>
      <c r="E109" t="inlineStr">
        <is>
          <t>ÄLVSBYN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15410-2024</t>
        </is>
      </c>
      <c r="B110" s="1" t="n">
        <v>45401.35140046296</v>
      </c>
      <c r="C110" s="1" t="n">
        <v>45886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45886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40284-2024</t>
        </is>
      </c>
      <c r="B112" s="1" t="n">
        <v>45554.66608796296</v>
      </c>
      <c r="C112" s="1" t="n">
        <v>45886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3038-2025</t>
        </is>
      </c>
      <c r="B113" s="1" t="n">
        <v>45678</v>
      </c>
      <c r="C113" s="1" t="n">
        <v>45886</v>
      </c>
      <c r="D113" t="inlineStr">
        <is>
          <t>NORRBOTTENS LÄN</t>
        </is>
      </c>
      <c r="E113" t="inlineStr">
        <is>
          <t>ÄLVSBYN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4929-2025</t>
        </is>
      </c>
      <c r="B114" s="1" t="n">
        <v>45688.68466435185</v>
      </c>
      <c r="C114" s="1" t="n">
        <v>45886</v>
      </c>
      <c r="D114" t="inlineStr">
        <is>
          <t>NORRBOTTENS LÄN</t>
        </is>
      </c>
      <c r="E114" t="inlineStr">
        <is>
          <t>ÄLVSBYN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60589-2024</t>
        </is>
      </c>
      <c r="B115" s="1" t="n">
        <v>45642</v>
      </c>
      <c r="C115" s="1" t="n">
        <v>45886</v>
      </c>
      <c r="D115" t="inlineStr">
        <is>
          <t>NORRBOTTENS LÄN</t>
        </is>
      </c>
      <c r="E115" t="inlineStr">
        <is>
          <t>ÄLVSBYN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45886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20753-2025</t>
        </is>
      </c>
      <c r="B117" s="1" t="n">
        <v>45776</v>
      </c>
      <c r="C117" s="1" t="n">
        <v>45886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45886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45886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46308-2022</t>
        </is>
      </c>
      <c r="B120" s="1" t="n">
        <v>44847</v>
      </c>
      <c r="C120" s="1" t="n">
        <v>45886</v>
      </c>
      <c r="D120" t="inlineStr">
        <is>
          <t>NORRBOTTENS LÄN</t>
        </is>
      </c>
      <c r="E120" t="inlineStr">
        <is>
          <t>ÄLVSBYN</t>
        </is>
      </c>
      <c r="G120" t="n">
        <v>18.7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20158-2025</t>
        </is>
      </c>
      <c r="B121" s="1" t="n">
        <v>45772</v>
      </c>
      <c r="C121" s="1" t="n">
        <v>45886</v>
      </c>
      <c r="D121" t="inlineStr">
        <is>
          <t>NORRBOTTENS LÄN</t>
        </is>
      </c>
      <c r="E121" t="inlineStr">
        <is>
          <t>ÄLVSBYN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45886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58450-2023</t>
        </is>
      </c>
      <c r="B123" s="1" t="n">
        <v>45250</v>
      </c>
      <c r="C123" s="1" t="n">
        <v>45886</v>
      </c>
      <c r="D123" t="inlineStr">
        <is>
          <t>NORRBOTTENS LÄN</t>
        </is>
      </c>
      <c r="E123" t="inlineStr">
        <is>
          <t>ÄLVSBYN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47371-2024</t>
        </is>
      </c>
      <c r="B124" s="1" t="n">
        <v>45587</v>
      </c>
      <c r="C124" s="1" t="n">
        <v>45886</v>
      </c>
      <c r="D124" t="inlineStr">
        <is>
          <t>NORRBOTTENS LÄN</t>
        </is>
      </c>
      <c r="E124" t="inlineStr">
        <is>
          <t>ÄLVSBYN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2290-2023</t>
        </is>
      </c>
      <c r="B125" s="1" t="n">
        <v>44942</v>
      </c>
      <c r="C125" s="1" t="n">
        <v>45886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20187-2025</t>
        </is>
      </c>
      <c r="B126" s="1" t="n">
        <v>45772</v>
      </c>
      <c r="C126" s="1" t="n">
        <v>45886</v>
      </c>
      <c r="D126" t="inlineStr">
        <is>
          <t>NORRBOTTENS LÄN</t>
        </is>
      </c>
      <c r="E126" t="inlineStr">
        <is>
          <t>ÄLVSBYN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15959-2024</t>
        </is>
      </c>
      <c r="B127" s="1" t="n">
        <v>45405</v>
      </c>
      <c r="C127" s="1" t="n">
        <v>45886</v>
      </c>
      <c r="D127" t="inlineStr">
        <is>
          <t>NORRBOTTENS LÄN</t>
        </is>
      </c>
      <c r="E127" t="inlineStr">
        <is>
          <t>ÄLVSBYN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20166-2025</t>
        </is>
      </c>
      <c r="B128" s="1" t="n">
        <v>45772</v>
      </c>
      <c r="C128" s="1" t="n">
        <v>45886</v>
      </c>
      <c r="D128" t="inlineStr">
        <is>
          <t>NORRBOTTENS LÄN</t>
        </is>
      </c>
      <c r="E128" t="inlineStr">
        <is>
          <t>ÄLVSBYN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21990-2025</t>
        </is>
      </c>
      <c r="B129" s="1" t="n">
        <v>45784</v>
      </c>
      <c r="C129" s="1" t="n">
        <v>45886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20237-2025</t>
        </is>
      </c>
      <c r="B130" s="1" t="n">
        <v>45772</v>
      </c>
      <c r="C130" s="1" t="n">
        <v>45886</v>
      </c>
      <c r="D130" t="inlineStr">
        <is>
          <t>NORRBOTTENS LÄN</t>
        </is>
      </c>
      <c r="E130" t="inlineStr">
        <is>
          <t>ÄLVSBYN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1486-2024</t>
        </is>
      </c>
      <c r="B131" s="1" t="n">
        <v>45305</v>
      </c>
      <c r="C131" s="1" t="n">
        <v>45886</v>
      </c>
      <c r="D131" t="inlineStr">
        <is>
          <t>NORRBOTTENS LÄN</t>
        </is>
      </c>
      <c r="E131" t="inlineStr">
        <is>
          <t>ÄLVSBYN</t>
        </is>
      </c>
      <c r="G131" t="n">
        <v>92.09999999999999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28862-2024</t>
        </is>
      </c>
      <c r="B132" s="1" t="n">
        <v>45478.92890046296</v>
      </c>
      <c r="C132" s="1" t="n">
        <v>45886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50672-2024</t>
        </is>
      </c>
      <c r="B133" s="1" t="n">
        <v>45601</v>
      </c>
      <c r="C133" s="1" t="n">
        <v>45886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20243-2025</t>
        </is>
      </c>
      <c r="B134" s="1" t="n">
        <v>45772</v>
      </c>
      <c r="C134" s="1" t="n">
        <v>45886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47394-2024</t>
        </is>
      </c>
      <c r="B135" s="1" t="n">
        <v>45587.47013888889</v>
      </c>
      <c r="C135" s="1" t="n">
        <v>45886</v>
      </c>
      <c r="D135" t="inlineStr">
        <is>
          <t>NORRBOTTENS LÄN</t>
        </is>
      </c>
      <c r="E135" t="inlineStr">
        <is>
          <t>ÄLVSBYN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15401-2024</t>
        </is>
      </c>
      <c r="B136" s="1" t="n">
        <v>45401.33658564815</v>
      </c>
      <c r="C136" s="1" t="n">
        <v>45886</v>
      </c>
      <c r="D136" t="inlineStr">
        <is>
          <t>NORRBOTTENS LÄN</t>
        </is>
      </c>
      <c r="E136" t="inlineStr">
        <is>
          <t>ÄLVSBYN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59826-2024</t>
        </is>
      </c>
      <c r="B137" s="1" t="n">
        <v>45639</v>
      </c>
      <c r="C137" s="1" t="n">
        <v>45886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41467-2023</t>
        </is>
      </c>
      <c r="B138" s="1" t="n">
        <v>45175</v>
      </c>
      <c r="C138" s="1" t="n">
        <v>45886</v>
      </c>
      <c r="D138" t="inlineStr">
        <is>
          <t>NORRBOTTENS LÄN</t>
        </is>
      </c>
      <c r="E138" t="inlineStr">
        <is>
          <t>ÄLVSBYN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21895-2023</t>
        </is>
      </c>
      <c r="B139" s="1" t="n">
        <v>45068.51972222222</v>
      </c>
      <c r="C139" s="1" t="n">
        <v>45886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45886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46786-2024</t>
        </is>
      </c>
      <c r="B141" s="1" t="n">
        <v>45583</v>
      </c>
      <c r="C141" s="1" t="n">
        <v>45886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23404-2025</t>
        </is>
      </c>
      <c r="B142" s="1" t="n">
        <v>45792</v>
      </c>
      <c r="C142" s="1" t="n">
        <v>45886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45886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45886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57138-2024</t>
        </is>
      </c>
      <c r="B145" s="1" t="n">
        <v>45629</v>
      </c>
      <c r="C145" s="1" t="n">
        <v>45886</v>
      </c>
      <c r="D145" t="inlineStr">
        <is>
          <t>NORRBOTTENS LÄN</t>
        </is>
      </c>
      <c r="E145" t="inlineStr">
        <is>
          <t>ÄLVSBYN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39668-2024</t>
        </is>
      </c>
      <c r="B146" s="1" t="n">
        <v>45552</v>
      </c>
      <c r="C146" s="1" t="n">
        <v>45886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45886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45886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60773-2024</t>
        </is>
      </c>
      <c r="B149" s="1" t="n">
        <v>45644.58398148148</v>
      </c>
      <c r="C149" s="1" t="n">
        <v>45886</v>
      </c>
      <c r="D149" t="inlineStr">
        <is>
          <t>NORRBOTTENS LÄN</t>
        </is>
      </c>
      <c r="E149" t="inlineStr">
        <is>
          <t>ÄLVSBYN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20179-2025</t>
        </is>
      </c>
      <c r="B150" s="1" t="n">
        <v>45772</v>
      </c>
      <c r="C150" s="1" t="n">
        <v>45886</v>
      </c>
      <c r="D150" t="inlineStr">
        <is>
          <t>NORRBOTTENS LÄN</t>
        </is>
      </c>
      <c r="E150" t="inlineStr">
        <is>
          <t>ÄLVSBYN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58447-2023</t>
        </is>
      </c>
      <c r="B151" s="1" t="n">
        <v>45250</v>
      </c>
      <c r="C151" s="1" t="n">
        <v>45886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34448-2024</t>
        </is>
      </c>
      <c r="B152" s="1" t="n">
        <v>45525</v>
      </c>
      <c r="C152" s="1" t="n">
        <v>45886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73774-2021</t>
        </is>
      </c>
      <c r="B153" s="1" t="n">
        <v>44552</v>
      </c>
      <c r="C153" s="1" t="n">
        <v>45886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44348-2024</t>
        </is>
      </c>
      <c r="B154" s="1" t="n">
        <v>45573</v>
      </c>
      <c r="C154" s="1" t="n">
        <v>45886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29683-2024</t>
        </is>
      </c>
      <c r="B155" s="1" t="n">
        <v>45484</v>
      </c>
      <c r="C155" s="1" t="n">
        <v>45886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24716-2025</t>
        </is>
      </c>
      <c r="B156" s="1" t="n">
        <v>45798.99405092592</v>
      </c>
      <c r="C156" s="1" t="n">
        <v>45886</v>
      </c>
      <c r="D156" t="inlineStr">
        <is>
          <t>NORRBOTTENS LÄN</t>
        </is>
      </c>
      <c r="E156" t="inlineStr">
        <is>
          <t>ÄLVSBYN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24763-2025</t>
        </is>
      </c>
      <c r="B157" s="1" t="n">
        <v>45799.38591435185</v>
      </c>
      <c r="C157" s="1" t="n">
        <v>45886</v>
      </c>
      <c r="D157" t="inlineStr">
        <is>
          <t>NORRBOTTENS LÄN</t>
        </is>
      </c>
      <c r="E157" t="inlineStr">
        <is>
          <t>ÄLVSBYN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50597-2024</t>
        </is>
      </c>
      <c r="B158" s="1" t="n">
        <v>45601</v>
      </c>
      <c r="C158" s="1" t="n">
        <v>45886</v>
      </c>
      <c r="D158" t="inlineStr">
        <is>
          <t>NORRBOTTENS LÄN</t>
        </is>
      </c>
      <c r="E158" t="inlineStr">
        <is>
          <t>ÄLVSBYN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44213-2024</t>
        </is>
      </c>
      <c r="B159" s="1" t="n">
        <v>45573</v>
      </c>
      <c r="C159" s="1" t="n">
        <v>45886</v>
      </c>
      <c r="D159" t="inlineStr">
        <is>
          <t>NORRBOTTENS LÄN</t>
        </is>
      </c>
      <c r="E159" t="inlineStr">
        <is>
          <t>ÄLVSBYN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45886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45886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25622-2025</t>
        </is>
      </c>
      <c r="B162" s="1" t="n">
        <v>45803.57784722222</v>
      </c>
      <c r="C162" s="1" t="n">
        <v>45886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21545-2025</t>
        </is>
      </c>
      <c r="B163" s="1" t="n">
        <v>45782</v>
      </c>
      <c r="C163" s="1" t="n">
        <v>45886</v>
      </c>
      <c r="D163" t="inlineStr">
        <is>
          <t>NORRBOTTENS LÄN</t>
        </is>
      </c>
      <c r="E163" t="inlineStr">
        <is>
          <t>ÄLVSBYN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20254-2024</t>
        </is>
      </c>
      <c r="B164" s="1" t="n">
        <v>45434</v>
      </c>
      <c r="C164" s="1" t="n">
        <v>45886</v>
      </c>
      <c r="D164" t="inlineStr">
        <is>
          <t>NORRBOTTENS LÄN</t>
        </is>
      </c>
      <c r="E164" t="inlineStr">
        <is>
          <t>ÄLVSBYN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39378-2023</t>
        </is>
      </c>
      <c r="B165" s="1" t="n">
        <v>45166.6403125</v>
      </c>
      <c r="C165" s="1" t="n">
        <v>45886</v>
      </c>
      <c r="D165" t="inlineStr">
        <is>
          <t>NORRBOTTENS LÄN</t>
        </is>
      </c>
      <c r="E165" t="inlineStr">
        <is>
          <t>ÄLVSBYN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45886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26083-2025</t>
        </is>
      </c>
      <c r="B167" s="1" t="n">
        <v>45805.34427083333</v>
      </c>
      <c r="C167" s="1" t="n">
        <v>45886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9631-2022</t>
        </is>
      </c>
      <c r="B168" s="1" t="n">
        <v>44617</v>
      </c>
      <c r="C168" s="1" t="n">
        <v>45886</v>
      </c>
      <c r="D168" t="inlineStr">
        <is>
          <t>NORRBOTTENS LÄN</t>
        </is>
      </c>
      <c r="E168" t="inlineStr">
        <is>
          <t>ÄLVSBYN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25420-2024</t>
        </is>
      </c>
      <c r="B169" s="1" t="n">
        <v>45463</v>
      </c>
      <c r="C169" s="1" t="n">
        <v>45886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26087-2025</t>
        </is>
      </c>
      <c r="B170" s="1" t="n">
        <v>45805.34486111111</v>
      </c>
      <c r="C170" s="1" t="n">
        <v>45886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46406-2023</t>
        </is>
      </c>
      <c r="B171" s="1" t="n">
        <v>45194</v>
      </c>
      <c r="C171" s="1" t="n">
        <v>45886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26595-2025</t>
        </is>
      </c>
      <c r="B172" s="1" t="n">
        <v>45808.42758101852</v>
      </c>
      <c r="C172" s="1" t="n">
        <v>45886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27550-2024</t>
        </is>
      </c>
      <c r="B173" s="1" t="n">
        <v>45474</v>
      </c>
      <c r="C173" s="1" t="n">
        <v>45886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9623-2022</t>
        </is>
      </c>
      <c r="B174" s="1" t="n">
        <v>44617</v>
      </c>
      <c r="C174" s="1" t="n">
        <v>45886</v>
      </c>
      <c r="D174" t="inlineStr">
        <is>
          <t>NORRBOTTENS LÄN</t>
        </is>
      </c>
      <c r="E174" t="inlineStr">
        <is>
          <t>ÄLVSBYN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26599-2025</t>
        </is>
      </c>
      <c r="B175" s="1" t="n">
        <v>45808</v>
      </c>
      <c r="C175" s="1" t="n">
        <v>45886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34320-2025</t>
        </is>
      </c>
      <c r="B176" s="1" t="n">
        <v>45846.42490740741</v>
      </c>
      <c r="C176" s="1" t="n">
        <v>45886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8551-2025</t>
        </is>
      </c>
      <c r="B177" s="1" t="n">
        <v>45709</v>
      </c>
      <c r="C177" s="1" t="n">
        <v>45886</v>
      </c>
      <c r="D177" t="inlineStr">
        <is>
          <t>NORRBOTTENS LÄN</t>
        </is>
      </c>
      <c r="E177" t="inlineStr">
        <is>
          <t>ÄLVSBYN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8554-2025</t>
        </is>
      </c>
      <c r="B178" s="1" t="n">
        <v>45709</v>
      </c>
      <c r="C178" s="1" t="n">
        <v>45886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62696-2023</t>
        </is>
      </c>
      <c r="B179" s="1" t="n">
        <v>45271</v>
      </c>
      <c r="C179" s="1" t="n">
        <v>45886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45886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28314-2024</t>
        </is>
      </c>
      <c r="B181" s="1" t="n">
        <v>45477</v>
      </c>
      <c r="C181" s="1" t="n">
        <v>45886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52327-2022</t>
        </is>
      </c>
      <c r="B182" s="1" t="n">
        <v>44873</v>
      </c>
      <c r="C182" s="1" t="n">
        <v>45886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55181-2024</t>
        </is>
      </c>
      <c r="B183" s="1" t="n">
        <v>45621.53268518519</v>
      </c>
      <c r="C183" s="1" t="n">
        <v>45886</v>
      </c>
      <c r="D183" t="inlineStr">
        <is>
          <t>NORRBOTTENS LÄN</t>
        </is>
      </c>
      <c r="E183" t="inlineStr">
        <is>
          <t>ÄLVSBYN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51456-2023</t>
        </is>
      </c>
      <c r="B184" s="1" t="n">
        <v>45220</v>
      </c>
      <c r="C184" s="1" t="n">
        <v>45886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8550-2025</t>
        </is>
      </c>
      <c r="B185" s="1" t="n">
        <v>45709</v>
      </c>
      <c r="C185" s="1" t="n">
        <v>45886</v>
      </c>
      <c r="D185" t="inlineStr">
        <is>
          <t>NORRBOTTENS LÄN</t>
        </is>
      </c>
      <c r="E185" t="inlineStr">
        <is>
          <t>ÄLVSBYN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61518-2023</t>
        </is>
      </c>
      <c r="B186" s="1" t="n">
        <v>45265.33850694444</v>
      </c>
      <c r="C186" s="1" t="n">
        <v>45886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26596-2025</t>
        </is>
      </c>
      <c r="B187" s="1" t="n">
        <v>45808</v>
      </c>
      <c r="C187" s="1" t="n">
        <v>45886</v>
      </c>
      <c r="D187" t="inlineStr">
        <is>
          <t>NORRBOTTENS LÄN</t>
        </is>
      </c>
      <c r="E187" t="inlineStr">
        <is>
          <t>ÄLVSBYN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12613-2025</t>
        </is>
      </c>
      <c r="B188" s="1" t="n">
        <v>45733.3440162037</v>
      </c>
      <c r="C188" s="1" t="n">
        <v>45886</v>
      </c>
      <c r="D188" t="inlineStr">
        <is>
          <t>NORRBOTTENS LÄN</t>
        </is>
      </c>
      <c r="E188" t="inlineStr">
        <is>
          <t>ÄLVSBYN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31051-2023</t>
        </is>
      </c>
      <c r="B189" s="1" t="n">
        <v>45113</v>
      </c>
      <c r="C189" s="1" t="n">
        <v>45886</v>
      </c>
      <c r="D189" t="inlineStr">
        <is>
          <t>NORRBOTTENS LÄN</t>
        </is>
      </c>
      <c r="E189" t="inlineStr">
        <is>
          <t>ÄLVSBYN</t>
        </is>
      </c>
      <c r="F189" t="inlineStr">
        <is>
          <t>Övriga Aktiebolag</t>
        </is>
      </c>
      <c r="G189" t="n">
        <v>24.7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51794-2023</t>
        </is>
      </c>
      <c r="B190" s="1" t="n">
        <v>45222.92427083333</v>
      </c>
      <c r="C190" s="1" t="n">
        <v>45886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27280-2025</t>
        </is>
      </c>
      <c r="B191" s="1" t="n">
        <v>45812</v>
      </c>
      <c r="C191" s="1" t="n">
        <v>45886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46404-2023</t>
        </is>
      </c>
      <c r="B192" s="1" t="n">
        <v>45194</v>
      </c>
      <c r="C192" s="1" t="n">
        <v>45886</v>
      </c>
      <c r="D192" t="inlineStr">
        <is>
          <t>NORRBOTTENS LÄN</t>
        </is>
      </c>
      <c r="E192" t="inlineStr">
        <is>
          <t>ÄLVSBYN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41989-2024</t>
        </is>
      </c>
      <c r="B193" s="1" t="n">
        <v>45561.63650462963</v>
      </c>
      <c r="C193" s="1" t="n">
        <v>45886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10066-2023</t>
        </is>
      </c>
      <c r="B194" s="1" t="n">
        <v>44985</v>
      </c>
      <c r="C194" s="1" t="n">
        <v>45886</v>
      </c>
      <c r="D194" t="inlineStr">
        <is>
          <t>NORRBOTTENS LÄN</t>
        </is>
      </c>
      <c r="E194" t="inlineStr">
        <is>
          <t>ÄLVSBYN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24760-2022</t>
        </is>
      </c>
      <c r="B195" s="1" t="n">
        <v>44728</v>
      </c>
      <c r="C195" s="1" t="n">
        <v>45886</v>
      </c>
      <c r="D195" t="inlineStr">
        <is>
          <t>NORRBOTTENS LÄN</t>
        </is>
      </c>
      <c r="E195" t="inlineStr">
        <is>
          <t>ÄLVSBYN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44523-2020</t>
        </is>
      </c>
      <c r="B196" s="1" t="n">
        <v>44085</v>
      </c>
      <c r="C196" s="1" t="n">
        <v>45886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57214-2022</t>
        </is>
      </c>
      <c r="B197" s="1" t="n">
        <v>44895.65135416666</v>
      </c>
      <c r="C197" s="1" t="n">
        <v>45886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57233-2022</t>
        </is>
      </c>
      <c r="B198" s="1" t="n">
        <v>44895.67405092593</v>
      </c>
      <c r="C198" s="1" t="n">
        <v>45886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45886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45424-2023</t>
        </is>
      </c>
      <c r="B200" s="1" t="n">
        <v>45194</v>
      </c>
      <c r="C200" s="1" t="n">
        <v>45886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55873-2020</t>
        </is>
      </c>
      <c r="B201" s="1" t="n">
        <v>44131</v>
      </c>
      <c r="C201" s="1" t="n">
        <v>45886</v>
      </c>
      <c r="D201" t="inlineStr">
        <is>
          <t>NORRBOTTENS LÄN</t>
        </is>
      </c>
      <c r="E201" t="inlineStr">
        <is>
          <t>ÄLVSBYN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10269-2025</t>
        </is>
      </c>
      <c r="B202" s="1" t="n">
        <v>45720</v>
      </c>
      <c r="C202" s="1" t="n">
        <v>45886</v>
      </c>
      <c r="D202" t="inlineStr">
        <is>
          <t>NORRBOTTENS LÄN</t>
        </is>
      </c>
      <c r="E202" t="inlineStr">
        <is>
          <t>ÄLVSBYN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60351-2022</t>
        </is>
      </c>
      <c r="B203" s="1" t="n">
        <v>44910</v>
      </c>
      <c r="C203" s="1" t="n">
        <v>45886</v>
      </c>
      <c r="D203" t="inlineStr">
        <is>
          <t>NORRBOTTENS LÄN</t>
        </is>
      </c>
      <c r="E203" t="inlineStr">
        <is>
          <t>ÄLVSBYN</t>
        </is>
      </c>
      <c r="G203" t="n">
        <v>23.4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55552-2024</t>
        </is>
      </c>
      <c r="B204" s="1" t="n">
        <v>45622</v>
      </c>
      <c r="C204" s="1" t="n">
        <v>45886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64471-2023</t>
        </is>
      </c>
      <c r="B205" s="1" t="n">
        <v>45280.81618055556</v>
      </c>
      <c r="C205" s="1" t="n">
        <v>45886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58315-2024</t>
        </is>
      </c>
      <c r="B206" s="1" t="n">
        <v>45632</v>
      </c>
      <c r="C206" s="1" t="n">
        <v>45886</v>
      </c>
      <c r="D206" t="inlineStr">
        <is>
          <t>NORRBOTTENS LÄN</t>
        </is>
      </c>
      <c r="E206" t="inlineStr">
        <is>
          <t>ÄLVSBYN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52397-2023</t>
        </is>
      </c>
      <c r="B207" s="1" t="n">
        <v>45224</v>
      </c>
      <c r="C207" s="1" t="n">
        <v>45886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33823-2021</t>
        </is>
      </c>
      <c r="B208" s="1" t="n">
        <v>44378</v>
      </c>
      <c r="C208" s="1" t="n">
        <v>45886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63954-2023</t>
        </is>
      </c>
      <c r="B209" s="1" t="n">
        <v>45278</v>
      </c>
      <c r="C209" s="1" t="n">
        <v>45886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32202-2024</t>
        </is>
      </c>
      <c r="B210" s="1" t="n">
        <v>45511.67006944444</v>
      </c>
      <c r="C210" s="1" t="n">
        <v>45886</v>
      </c>
      <c r="D210" t="inlineStr">
        <is>
          <t>NORRBOTTENS LÄN</t>
        </is>
      </c>
      <c r="E210" t="inlineStr">
        <is>
          <t>ÄLVSBYN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35802-2025</t>
        </is>
      </c>
      <c r="B211" s="1" t="n">
        <v>45861.38800925926</v>
      </c>
      <c r="C211" s="1" t="n">
        <v>45886</v>
      </c>
      <c r="D211" t="inlineStr">
        <is>
          <t>NORRBOTTENS LÄN</t>
        </is>
      </c>
      <c r="E211" t="inlineStr">
        <is>
          <t>ÄLVSBYN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16473-2025</t>
        </is>
      </c>
      <c r="B212" s="1" t="n">
        <v>45751.55675925926</v>
      </c>
      <c r="C212" s="1" t="n">
        <v>45886</v>
      </c>
      <c r="D212" t="inlineStr">
        <is>
          <t>NORRBOTTENS LÄN</t>
        </is>
      </c>
      <c r="E212" t="inlineStr">
        <is>
          <t>ÄLVSBYN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29022-2025</t>
        </is>
      </c>
      <c r="B213" s="1" t="n">
        <v>45821.4296412037</v>
      </c>
      <c r="C213" s="1" t="n">
        <v>45886</v>
      </c>
      <c r="D213" t="inlineStr">
        <is>
          <t>NORRBOTTENS LÄN</t>
        </is>
      </c>
      <c r="E213" t="inlineStr">
        <is>
          <t>ÄLVSBYN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31452-2024</t>
        </is>
      </c>
      <c r="B214" s="1" t="n">
        <v>45505</v>
      </c>
      <c r="C214" s="1" t="n">
        <v>45886</v>
      </c>
      <c r="D214" t="inlineStr">
        <is>
          <t>NORRBOTTENS LÄN</t>
        </is>
      </c>
      <c r="E214" t="inlineStr">
        <is>
          <t>ÄLVSBYN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29743-2025</t>
        </is>
      </c>
      <c r="B215" s="1" t="n">
        <v>45825</v>
      </c>
      <c r="C215" s="1" t="n">
        <v>45886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45886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58448-2023</t>
        </is>
      </c>
      <c r="B217" s="1" t="n">
        <v>45250</v>
      </c>
      <c r="C217" s="1" t="n">
        <v>45886</v>
      </c>
      <c r="D217" t="inlineStr">
        <is>
          <t>NORRBOTTENS LÄN</t>
        </is>
      </c>
      <c r="E217" t="inlineStr">
        <is>
          <t>ÄLVSBYN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39604-2024</t>
        </is>
      </c>
      <c r="B218" s="1" t="n">
        <v>45552.38583333333</v>
      </c>
      <c r="C218" s="1" t="n">
        <v>45886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64407-2023</t>
        </is>
      </c>
      <c r="B219" s="1" t="n">
        <v>45280.62268518518</v>
      </c>
      <c r="C219" s="1" t="n">
        <v>45886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45886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45886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45886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404-2024</t>
        </is>
      </c>
      <c r="B223" s="1" t="n">
        <v>45296</v>
      </c>
      <c r="C223" s="1" t="n">
        <v>45886</v>
      </c>
      <c r="D223" t="inlineStr">
        <is>
          <t>NORRBOTTENS LÄN</t>
        </is>
      </c>
      <c r="E223" t="inlineStr">
        <is>
          <t>ÄLVSBYN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30967-2025</t>
        </is>
      </c>
      <c r="B224" s="1" t="n">
        <v>45832.45363425926</v>
      </c>
      <c r="C224" s="1" t="n">
        <v>45886</v>
      </c>
      <c r="D224" t="inlineStr">
        <is>
          <t>NORRBOTTENS LÄN</t>
        </is>
      </c>
      <c r="E224" t="inlineStr">
        <is>
          <t>ÄLVSBYN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3445-2025</t>
        </is>
      </c>
      <c r="B225" s="1" t="n">
        <v>45680.46287037037</v>
      </c>
      <c r="C225" s="1" t="n">
        <v>45886</v>
      </c>
      <c r="D225" t="inlineStr">
        <is>
          <t>NORRBOTTENS LÄN</t>
        </is>
      </c>
      <c r="E225" t="inlineStr">
        <is>
          <t>ÄLVSBYN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2751-2022</t>
        </is>
      </c>
      <c r="B226" s="1" t="n">
        <v>44580.92210648148</v>
      </c>
      <c r="C226" s="1" t="n">
        <v>45886</v>
      </c>
      <c r="D226" t="inlineStr">
        <is>
          <t>NORRBOTTENS LÄN</t>
        </is>
      </c>
      <c r="E226" t="inlineStr">
        <is>
          <t>ÄLVSBYN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17094-2022</t>
        </is>
      </c>
      <c r="B227" s="1" t="n">
        <v>44677</v>
      </c>
      <c r="C227" s="1" t="n">
        <v>45886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5069-2025</t>
        </is>
      </c>
      <c r="B228" s="1" t="n">
        <v>45691</v>
      </c>
      <c r="C228" s="1" t="n">
        <v>45886</v>
      </c>
      <c r="D228" t="inlineStr">
        <is>
          <t>NORRBOTTENS LÄN</t>
        </is>
      </c>
      <c r="E228" t="inlineStr">
        <is>
          <t>ÄLVSBYN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30912-2025</t>
        </is>
      </c>
      <c r="B229" s="1" t="n">
        <v>45832.37572916667</v>
      </c>
      <c r="C229" s="1" t="n">
        <v>45886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31157-2025</t>
        </is>
      </c>
      <c r="B230" s="1" t="n">
        <v>45832.65146990741</v>
      </c>
      <c r="C230" s="1" t="n">
        <v>45886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35836-2025</t>
        </is>
      </c>
      <c r="B231" s="1" t="n">
        <v>45861</v>
      </c>
      <c r="C231" s="1" t="n">
        <v>45886</v>
      </c>
      <c r="D231" t="inlineStr">
        <is>
          <t>NORRBOTTENS LÄN</t>
        </is>
      </c>
      <c r="E231" t="inlineStr">
        <is>
          <t>ÄLVSBYN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43776-2024</t>
        </is>
      </c>
      <c r="B232" s="1" t="n">
        <v>45570</v>
      </c>
      <c r="C232" s="1" t="n">
        <v>45886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30555-2025</t>
        </is>
      </c>
      <c r="B233" s="1" t="n">
        <v>45831.38609953703</v>
      </c>
      <c r="C233" s="1" t="n">
        <v>45886</v>
      </c>
      <c r="D233" t="inlineStr">
        <is>
          <t>NORRBOTTENS LÄN</t>
        </is>
      </c>
      <c r="E233" t="inlineStr">
        <is>
          <t>ÄLVSBYN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35803-2025</t>
        </is>
      </c>
      <c r="B234" s="1" t="n">
        <v>45861</v>
      </c>
      <c r="C234" s="1" t="n">
        <v>45886</v>
      </c>
      <c r="D234" t="inlineStr">
        <is>
          <t>NORRBOTTENS LÄN</t>
        </is>
      </c>
      <c r="E234" t="inlineStr">
        <is>
          <t>ÄLVSBYN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42477-2024</t>
        </is>
      </c>
      <c r="B235" s="1" t="n">
        <v>45565</v>
      </c>
      <c r="C235" s="1" t="n">
        <v>45886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42483-2024</t>
        </is>
      </c>
      <c r="B236" s="1" t="n">
        <v>45565</v>
      </c>
      <c r="C236" s="1" t="n">
        <v>45886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58515-2023</t>
        </is>
      </c>
      <c r="B237" s="1" t="n">
        <v>45251</v>
      </c>
      <c r="C237" s="1" t="n">
        <v>45886</v>
      </c>
      <c r="D237" t="inlineStr">
        <is>
          <t>NORRBOTTENS LÄN</t>
        </is>
      </c>
      <c r="E237" t="inlineStr">
        <is>
          <t>ÄLVSBYN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31013-2025</t>
        </is>
      </c>
      <c r="B238" s="1" t="n">
        <v>45832.50912037037</v>
      </c>
      <c r="C238" s="1" t="n">
        <v>45886</v>
      </c>
      <c r="D238" t="inlineStr">
        <is>
          <t>NORRBOTTENS LÄN</t>
        </is>
      </c>
      <c r="E238" t="inlineStr">
        <is>
          <t>ÄLVSBYN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30526-2025</t>
        </is>
      </c>
      <c r="B239" s="1" t="n">
        <v>45831.35650462963</v>
      </c>
      <c r="C239" s="1" t="n">
        <v>45886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30893-2025</t>
        </is>
      </c>
      <c r="B240" s="1" t="n">
        <v>45832.34675925926</v>
      </c>
      <c r="C240" s="1" t="n">
        <v>45886</v>
      </c>
      <c r="D240" t="inlineStr">
        <is>
          <t>NORRBOTTENS LÄN</t>
        </is>
      </c>
      <c r="E240" t="inlineStr">
        <is>
          <t>ÄLVSBYN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45886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45886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48742-2022</t>
        </is>
      </c>
      <c r="B243" s="1" t="n">
        <v>44855</v>
      </c>
      <c r="C243" s="1" t="n">
        <v>45886</v>
      </c>
      <c r="D243" t="inlineStr">
        <is>
          <t>NORRBOTTENS LÄN</t>
        </is>
      </c>
      <c r="E243" t="inlineStr">
        <is>
          <t>ÄLVSBYN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60403-2022</t>
        </is>
      </c>
      <c r="B244" s="1" t="n">
        <v>44910.92222222222</v>
      </c>
      <c r="C244" s="1" t="n">
        <v>45886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36756-2025</t>
        </is>
      </c>
      <c r="B245" s="1" t="n">
        <v>45873</v>
      </c>
      <c r="C245" s="1" t="n">
        <v>45886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31563-2025</t>
        </is>
      </c>
      <c r="B246" s="1" t="n">
        <v>45833.65652777778</v>
      </c>
      <c r="C246" s="1" t="n">
        <v>45886</v>
      </c>
      <c r="D246" t="inlineStr">
        <is>
          <t>NORRBOTTENS LÄN</t>
        </is>
      </c>
      <c r="E246" t="inlineStr">
        <is>
          <t>ÄLVSBYN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31565-2025</t>
        </is>
      </c>
      <c r="B247" s="1" t="n">
        <v>45833.65660879629</v>
      </c>
      <c r="C247" s="1" t="n">
        <v>45886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15251-2023</t>
        </is>
      </c>
      <c r="B248" s="1" t="n">
        <v>45016</v>
      </c>
      <c r="C248" s="1" t="n">
        <v>45886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45886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31546-2025</t>
        </is>
      </c>
      <c r="B250" s="1" t="n">
        <v>45833.63626157407</v>
      </c>
      <c r="C250" s="1" t="n">
        <v>45886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8741-2025</t>
        </is>
      </c>
      <c r="B251" s="1" t="n">
        <v>45712.55256944444</v>
      </c>
      <c r="C251" s="1" t="n">
        <v>45886</v>
      </c>
      <c r="D251" t="inlineStr">
        <is>
          <t>NORRBOTTENS LÄN</t>
        </is>
      </c>
      <c r="E251" t="inlineStr">
        <is>
          <t>ÄLVSBYN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8742-2025</t>
        </is>
      </c>
      <c r="B252" s="1" t="n">
        <v>45712.55259259259</v>
      </c>
      <c r="C252" s="1" t="n">
        <v>45886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15255-2023</t>
        </is>
      </c>
      <c r="B253" s="1" t="n">
        <v>45016</v>
      </c>
      <c r="C253" s="1" t="n">
        <v>45886</v>
      </c>
      <c r="D253" t="inlineStr">
        <is>
          <t>NORRBOTTENS LÄN</t>
        </is>
      </c>
      <c r="E253" t="inlineStr">
        <is>
          <t>ÄLVSBYN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30606-2024</t>
        </is>
      </c>
      <c r="B254" s="1" t="n">
        <v>45494.95077546296</v>
      </c>
      <c r="C254" s="1" t="n">
        <v>45886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45886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37532-2025</t>
        </is>
      </c>
      <c r="B256" s="1" t="n">
        <v>45878.42765046296</v>
      </c>
      <c r="C256" s="1" t="n">
        <v>45886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9618-2022</t>
        </is>
      </c>
      <c r="B257" s="1" t="n">
        <v>44617</v>
      </c>
      <c r="C257" s="1" t="n">
        <v>45886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45886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2595-2023</t>
        </is>
      </c>
      <c r="B259" s="1" t="n">
        <v>44943</v>
      </c>
      <c r="C259" s="1" t="n">
        <v>45886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58919-2023</t>
        </is>
      </c>
      <c r="B260" s="1" t="n">
        <v>45252</v>
      </c>
      <c r="C260" s="1" t="n">
        <v>45886</v>
      </c>
      <c r="D260" t="inlineStr">
        <is>
          <t>NORRBOTTENS LÄN</t>
        </is>
      </c>
      <c r="E260" t="inlineStr">
        <is>
          <t>ÄLVSBYN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32552-2025</t>
        </is>
      </c>
      <c r="B261" s="1" t="n">
        <v>45838</v>
      </c>
      <c r="C261" s="1" t="n">
        <v>45886</v>
      </c>
      <c r="D261" t="inlineStr">
        <is>
          <t>NORRBOTTENS LÄN</t>
        </is>
      </c>
      <c r="E261" t="inlineStr">
        <is>
          <t>ÄLVSBYN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48835-2024</t>
        </is>
      </c>
      <c r="B262" s="1" t="n">
        <v>45593</v>
      </c>
      <c r="C262" s="1" t="n">
        <v>45886</v>
      </c>
      <c r="D262" t="inlineStr">
        <is>
          <t>NORRBOTTENS LÄN</t>
        </is>
      </c>
      <c r="E262" t="inlineStr">
        <is>
          <t>ÄLVSBYN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38079-2025</t>
        </is>
      </c>
      <c r="B263" s="1" t="n">
        <v>45882.46936342592</v>
      </c>
      <c r="C263" s="1" t="n">
        <v>45886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36861-2025</t>
        </is>
      </c>
      <c r="B264" s="1" t="n">
        <v>45874</v>
      </c>
      <c r="C264" s="1" t="n">
        <v>45886</v>
      </c>
      <c r="D264" t="inlineStr">
        <is>
          <t>NORRBOTTENS LÄN</t>
        </is>
      </c>
      <c r="E264" t="inlineStr">
        <is>
          <t>ÄLVSBYN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36929-2025</t>
        </is>
      </c>
      <c r="B265" s="1" t="n">
        <v>45874</v>
      </c>
      <c r="C265" s="1" t="n">
        <v>45886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30753-2025</t>
        </is>
      </c>
      <c r="B266" s="1" t="n">
        <v>45831</v>
      </c>
      <c r="C266" s="1" t="n">
        <v>45886</v>
      </c>
      <c r="D266" t="inlineStr">
        <is>
          <t>NORRBOTTENS LÄN</t>
        </is>
      </c>
      <c r="E266" t="inlineStr">
        <is>
          <t>ÄLVSBYN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4928-2025</t>
        </is>
      </c>
      <c r="B267" s="1" t="n">
        <v>45688.68462962963</v>
      </c>
      <c r="C267" s="1" t="n">
        <v>45886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16204-2024</t>
        </is>
      </c>
      <c r="B268" s="1" t="n">
        <v>45406.77420138889</v>
      </c>
      <c r="C268" s="1" t="n">
        <v>45886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48971-2020</t>
        </is>
      </c>
      <c r="B269" s="1" t="n">
        <v>44105</v>
      </c>
      <c r="C269" s="1" t="n">
        <v>45886</v>
      </c>
      <c r="D269" t="inlineStr">
        <is>
          <t>NORRBOTTENS LÄN</t>
        </is>
      </c>
      <c r="E269" t="inlineStr">
        <is>
          <t>ÄLVSBYN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7266-2024</t>
        </is>
      </c>
      <c r="B270" s="1" t="n">
        <v>45344.82890046296</v>
      </c>
      <c r="C270" s="1" t="n">
        <v>45886</v>
      </c>
      <c r="D270" t="inlineStr">
        <is>
          <t>NORRBOTTENS LÄN</t>
        </is>
      </c>
      <c r="E270" t="inlineStr">
        <is>
          <t>ÄLVSBYN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1238-2024</t>
        </is>
      </c>
      <c r="B271" s="1" t="n">
        <v>45302</v>
      </c>
      <c r="C271" s="1" t="n">
        <v>45886</v>
      </c>
      <c r="D271" t="inlineStr">
        <is>
          <t>NORRBOTTENS LÄN</t>
        </is>
      </c>
      <c r="E271" t="inlineStr">
        <is>
          <t>ÄLVSBYN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11835-2023</t>
        </is>
      </c>
      <c r="B272" s="1" t="n">
        <v>44994</v>
      </c>
      <c r="C272" s="1" t="n">
        <v>45886</v>
      </c>
      <c r="D272" t="inlineStr">
        <is>
          <t>NORRBOTTENS LÄN</t>
        </is>
      </c>
      <c r="E272" t="inlineStr">
        <is>
          <t>ÄLVSBYN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38999-2024</t>
        </is>
      </c>
      <c r="B273" s="1" t="n">
        <v>45548.4180787037</v>
      </c>
      <c r="C273" s="1" t="n">
        <v>45886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28358-2024</t>
        </is>
      </c>
      <c r="B274" s="1" t="n">
        <v>45477</v>
      </c>
      <c r="C274" s="1" t="n">
        <v>45886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18958-2025</t>
        </is>
      </c>
      <c r="B275" s="1" t="n">
        <v>45764</v>
      </c>
      <c r="C275" s="1" t="n">
        <v>45886</v>
      </c>
      <c r="D275" t="inlineStr">
        <is>
          <t>NORRBOTTENS LÄN</t>
        </is>
      </c>
      <c r="E275" t="inlineStr">
        <is>
          <t>ÄLVSBYN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26727-2024</t>
        </is>
      </c>
      <c r="B276" s="1" t="n">
        <v>45470</v>
      </c>
      <c r="C276" s="1" t="n">
        <v>45886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46784-2024</t>
        </is>
      </c>
      <c r="B277" s="1" t="n">
        <v>45583.52376157408</v>
      </c>
      <c r="C277" s="1" t="n">
        <v>45886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21677-2023</t>
        </is>
      </c>
      <c r="B278" s="1" t="n">
        <v>45063.94185185185</v>
      </c>
      <c r="C278" s="1" t="n">
        <v>45886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64403-2023</t>
        </is>
      </c>
      <c r="B279" s="1" t="n">
        <v>45280.6125</v>
      </c>
      <c r="C279" s="1" t="n">
        <v>45886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7289-2024</t>
        </is>
      </c>
      <c r="B280" s="1" t="n">
        <v>45344</v>
      </c>
      <c r="C280" s="1" t="n">
        <v>45886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5455-2021</t>
        </is>
      </c>
      <c r="B281" s="1" t="n">
        <v>44229</v>
      </c>
      <c r="C281" s="1" t="n">
        <v>45886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25455-2022</t>
        </is>
      </c>
      <c r="B282" s="1" t="n">
        <v>44732</v>
      </c>
      <c r="C282" s="1" t="n">
        <v>45886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57139-2024</t>
        </is>
      </c>
      <c r="B283" s="1" t="n">
        <v>45629</v>
      </c>
      <c r="C283" s="1" t="n">
        <v>45886</v>
      </c>
      <c r="D283" t="inlineStr">
        <is>
          <t>NORRBOTTENS LÄN</t>
        </is>
      </c>
      <c r="E283" t="inlineStr">
        <is>
          <t>ÄLVSBYN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47121-2022</t>
        </is>
      </c>
      <c r="B284" s="1" t="n">
        <v>44851</v>
      </c>
      <c r="C284" s="1" t="n">
        <v>45886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24922-2023</t>
        </is>
      </c>
      <c r="B285" s="1" t="n">
        <v>45078</v>
      </c>
      <c r="C285" s="1" t="n">
        <v>45886</v>
      </c>
      <c r="D285" t="inlineStr">
        <is>
          <t>NORRBOTTENS LÄN</t>
        </is>
      </c>
      <c r="E285" t="inlineStr">
        <is>
          <t>ÄLVSBYN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22810-2024</t>
        </is>
      </c>
      <c r="B286" s="1" t="n">
        <v>45448</v>
      </c>
      <c r="C286" s="1" t="n">
        <v>45886</v>
      </c>
      <c r="D286" t="inlineStr">
        <is>
          <t>NORRBOTTENS LÄN</t>
        </is>
      </c>
      <c r="E286" t="inlineStr">
        <is>
          <t>ÄLVSBYN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2293-2023</t>
        </is>
      </c>
      <c r="B287" s="1" t="n">
        <v>44942</v>
      </c>
      <c r="C287" s="1" t="n">
        <v>45886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37291-2024</t>
        </is>
      </c>
      <c r="B288" s="1" t="n">
        <v>45540</v>
      </c>
      <c r="C288" s="1" t="n">
        <v>45886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58476-2023</t>
        </is>
      </c>
      <c r="B289" s="1" t="n">
        <v>45246</v>
      </c>
      <c r="C289" s="1" t="n">
        <v>45886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33336-2024</t>
        </is>
      </c>
      <c r="B290" s="1" t="n">
        <v>45519.31964120371</v>
      </c>
      <c r="C290" s="1" t="n">
        <v>45886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6004-2023</t>
        </is>
      </c>
      <c r="B291" s="1" t="n">
        <v>44959</v>
      </c>
      <c r="C291" s="1" t="n">
        <v>45886</v>
      </c>
      <c r="D291" t="inlineStr">
        <is>
          <t>NORRBOTTENS LÄN</t>
        </is>
      </c>
      <c r="E291" t="inlineStr">
        <is>
          <t>ÄLVSBYN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51051-2024</t>
        </is>
      </c>
      <c r="B292" s="1" t="n">
        <v>45603</v>
      </c>
      <c r="C292" s="1" t="n">
        <v>45886</v>
      </c>
      <c r="D292" t="inlineStr">
        <is>
          <t>NORRBOTTENS LÄN</t>
        </is>
      </c>
      <c r="E292" t="inlineStr">
        <is>
          <t>ÄLVSBYN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32195-2024</t>
        </is>
      </c>
      <c r="B293" s="1" t="n">
        <v>45511</v>
      </c>
      <c r="C293" s="1" t="n">
        <v>45886</v>
      </c>
      <c r="D293" t="inlineStr">
        <is>
          <t>NORRBOTTENS LÄN</t>
        </is>
      </c>
      <c r="E293" t="inlineStr">
        <is>
          <t>ÄLVSBYN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59553-2021</t>
        </is>
      </c>
      <c r="B294" s="1" t="n">
        <v>44491</v>
      </c>
      <c r="C294" s="1" t="n">
        <v>45886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58007-2024</t>
        </is>
      </c>
      <c r="B295" s="1" t="n">
        <v>45631</v>
      </c>
      <c r="C295" s="1" t="n">
        <v>45886</v>
      </c>
      <c r="D295" t="inlineStr">
        <is>
          <t>NORRBOTTENS LÄN</t>
        </is>
      </c>
      <c r="E295" t="inlineStr">
        <is>
          <t>ÄLVSBYN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62406-2023</t>
        </is>
      </c>
      <c r="B296" s="1" t="n">
        <v>45266</v>
      </c>
      <c r="C296" s="1" t="n">
        <v>45886</v>
      </c>
      <c r="D296" t="inlineStr">
        <is>
          <t>NORRBOTTENS LÄN</t>
        </is>
      </c>
      <c r="E296" t="inlineStr">
        <is>
          <t>ÄLVSBYN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39005-2023</t>
        </is>
      </c>
      <c r="B297" s="1" t="n">
        <v>45162</v>
      </c>
      <c r="C297" s="1" t="n">
        <v>45886</v>
      </c>
      <c r="D297" t="inlineStr">
        <is>
          <t>NORRBOTTENS LÄN</t>
        </is>
      </c>
      <c r="E297" t="inlineStr">
        <is>
          <t>ÄLVSBYN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59180-2024</t>
        </is>
      </c>
      <c r="B298" s="1" t="n">
        <v>45637</v>
      </c>
      <c r="C298" s="1" t="n">
        <v>45886</v>
      </c>
      <c r="D298" t="inlineStr">
        <is>
          <t>NORRBOTTENS LÄN</t>
        </is>
      </c>
      <c r="E298" t="inlineStr">
        <is>
          <t>ÄLVSBYN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51912-2021</t>
        </is>
      </c>
      <c r="B299" s="1" t="n">
        <v>44462</v>
      </c>
      <c r="C299" s="1" t="n">
        <v>45886</v>
      </c>
      <c r="D299" t="inlineStr">
        <is>
          <t>NORRBOTTENS LÄN</t>
        </is>
      </c>
      <c r="E299" t="inlineStr">
        <is>
          <t>ÄLVSBYN</t>
        </is>
      </c>
      <c r="G299" t="n">
        <v>26.5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9643-2022</t>
        </is>
      </c>
      <c r="B300" s="1" t="n">
        <v>44617</v>
      </c>
      <c r="C300" s="1" t="n">
        <v>45886</v>
      </c>
      <c r="D300" t="inlineStr">
        <is>
          <t>NORRBOTTENS LÄN</t>
        </is>
      </c>
      <c r="E300" t="inlineStr">
        <is>
          <t>ÄLVSBYN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42558-2024</t>
        </is>
      </c>
      <c r="B301" s="1" t="n">
        <v>45565</v>
      </c>
      <c r="C301" s="1" t="n">
        <v>45886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8334-2025</t>
        </is>
      </c>
      <c r="B302" s="1" t="n">
        <v>45708</v>
      </c>
      <c r="C302" s="1" t="n">
        <v>45886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25102-2023</t>
        </is>
      </c>
      <c r="B303" s="1" t="n">
        <v>45078</v>
      </c>
      <c r="C303" s="1" t="n">
        <v>45886</v>
      </c>
      <c r="D303" t="inlineStr">
        <is>
          <t>NORRBOTTENS LÄN</t>
        </is>
      </c>
      <c r="E303" t="inlineStr">
        <is>
          <t>ÄLVSBYN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31220-2023</t>
        </is>
      </c>
      <c r="B304" s="1" t="n">
        <v>45114</v>
      </c>
      <c r="C304" s="1" t="n">
        <v>45886</v>
      </c>
      <c r="D304" t="inlineStr">
        <is>
          <t>NORRBOTTENS LÄN</t>
        </is>
      </c>
      <c r="E304" t="inlineStr">
        <is>
          <t>ÄLVSBYN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58309-2024</t>
        </is>
      </c>
      <c r="B305" s="1" t="n">
        <v>45632</v>
      </c>
      <c r="C305" s="1" t="n">
        <v>45886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60581-2024</t>
        </is>
      </c>
      <c r="B306" s="1" t="n">
        <v>45642</v>
      </c>
      <c r="C306" s="1" t="n">
        <v>45886</v>
      </c>
      <c r="D306" t="inlineStr">
        <is>
          <t>NORRBOTTENS LÄN</t>
        </is>
      </c>
      <c r="E306" t="inlineStr">
        <is>
          <t>ÄLVSBYN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23178-2023</t>
        </is>
      </c>
      <c r="B307" s="1" t="n">
        <v>45075.57619212963</v>
      </c>
      <c r="C307" s="1" t="n">
        <v>45886</v>
      </c>
      <c r="D307" t="inlineStr">
        <is>
          <t>NORRBOTTENS LÄN</t>
        </is>
      </c>
      <c r="E307" t="inlineStr">
        <is>
          <t>ÄLVSBYN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3500-2023</t>
        </is>
      </c>
      <c r="B308" s="1" t="n">
        <v>44949.9250925926</v>
      </c>
      <c r="C308" s="1" t="n">
        <v>45886</v>
      </c>
      <c r="D308" t="inlineStr">
        <is>
          <t>NORRBOTTENS LÄN</t>
        </is>
      </c>
      <c r="E308" t="inlineStr">
        <is>
          <t>ÄLVSBYN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11477-2022</t>
        </is>
      </c>
      <c r="B309" s="1" t="n">
        <v>44630.92287037037</v>
      </c>
      <c r="C309" s="1" t="n">
        <v>45886</v>
      </c>
      <c r="D309" t="inlineStr">
        <is>
          <t>NORRBOTTENS LÄN</t>
        </is>
      </c>
      <c r="E309" t="inlineStr">
        <is>
          <t>ÄLVSBYN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40282-2024</t>
        </is>
      </c>
      <c r="B310" s="1" t="n">
        <v>45554.66056712963</v>
      </c>
      <c r="C310" s="1" t="n">
        <v>45886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50746-2021</t>
        </is>
      </c>
      <c r="B311" s="1" t="n">
        <v>44460</v>
      </c>
      <c r="C311" s="1" t="n">
        <v>45886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32966-2023</t>
        </is>
      </c>
      <c r="B312" s="1" t="n">
        <v>45125.54148148148</v>
      </c>
      <c r="C312" s="1" t="n">
        <v>45886</v>
      </c>
      <c r="D312" t="inlineStr">
        <is>
          <t>NORRBOTTENS LÄN</t>
        </is>
      </c>
      <c r="E312" t="inlineStr">
        <is>
          <t>ÄLVSBYN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12950-2021</t>
        </is>
      </c>
      <c r="B313" s="1" t="n">
        <v>44271</v>
      </c>
      <c r="C313" s="1" t="n">
        <v>45886</v>
      </c>
      <c r="D313" t="inlineStr">
        <is>
          <t>NORRBOTTENS LÄN</t>
        </is>
      </c>
      <c r="E313" t="inlineStr">
        <is>
          <t>ÄLVSBYN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61619-2024</t>
        </is>
      </c>
      <c r="B314" s="1" t="n">
        <v>45646.65796296296</v>
      </c>
      <c r="C314" s="1" t="n">
        <v>45886</v>
      </c>
      <c r="D314" t="inlineStr">
        <is>
          <t>NORRBOTTENS LÄN</t>
        </is>
      </c>
      <c r="E314" t="inlineStr">
        <is>
          <t>ÄLVSBYN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23136-2024</t>
        </is>
      </c>
      <c r="B315" s="1" t="n">
        <v>45450</v>
      </c>
      <c r="C315" s="1" t="n">
        <v>45886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54848-2024</t>
        </is>
      </c>
      <c r="B316" s="1" t="n">
        <v>45618</v>
      </c>
      <c r="C316" s="1" t="n">
        <v>45886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45886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8549-2025</t>
        </is>
      </c>
      <c r="B318" s="1" t="n">
        <v>45709</v>
      </c>
      <c r="C318" s="1" t="n">
        <v>45886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8552-2025</t>
        </is>
      </c>
      <c r="B319" s="1" t="n">
        <v>45709</v>
      </c>
      <c r="C319" s="1" t="n">
        <v>45886</v>
      </c>
      <c r="D319" t="inlineStr">
        <is>
          <t>NORRBOTTENS LÄN</t>
        </is>
      </c>
      <c r="E319" t="inlineStr">
        <is>
          <t>ÄLVSBYN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8553-2025</t>
        </is>
      </c>
      <c r="B320" s="1" t="n">
        <v>45709</v>
      </c>
      <c r="C320" s="1" t="n">
        <v>45886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60030-2021</t>
        </is>
      </c>
      <c r="B321" s="1" t="n">
        <v>44494</v>
      </c>
      <c r="C321" s="1" t="n">
        <v>45886</v>
      </c>
      <c r="D321" t="inlineStr">
        <is>
          <t>NORRBOTTENS LÄN</t>
        </is>
      </c>
      <c r="E321" t="inlineStr">
        <is>
          <t>ÄLVSBYN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19142-2023</t>
        </is>
      </c>
      <c r="B322" s="1" t="n">
        <v>45044</v>
      </c>
      <c r="C322" s="1" t="n">
        <v>45886</v>
      </c>
      <c r="D322" t="inlineStr">
        <is>
          <t>NORRBOTTENS LÄN</t>
        </is>
      </c>
      <c r="E322" t="inlineStr">
        <is>
          <t>ÄLVSBYN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46838-2024</t>
        </is>
      </c>
      <c r="B323" s="1" t="n">
        <v>45583</v>
      </c>
      <c r="C323" s="1" t="n">
        <v>45886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43005-2021</t>
        </is>
      </c>
      <c r="B324" s="1" t="n">
        <v>44431</v>
      </c>
      <c r="C324" s="1" t="n">
        <v>45886</v>
      </c>
      <c r="D324" t="inlineStr">
        <is>
          <t>NORRBOTTENS LÄN</t>
        </is>
      </c>
      <c r="E324" t="inlineStr">
        <is>
          <t>ÄLVSBYN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42505-2024</t>
        </is>
      </c>
      <c r="B325" s="1" t="n">
        <v>45565</v>
      </c>
      <c r="C325" s="1" t="n">
        <v>45886</v>
      </c>
      <c r="D325" t="inlineStr">
        <is>
          <t>NORRBOTTENS LÄN</t>
        </is>
      </c>
      <c r="E325" t="inlineStr">
        <is>
          <t>ÄLVSBYN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42506-2024</t>
        </is>
      </c>
      <c r="B326" s="1" t="n">
        <v>45565.523125</v>
      </c>
      <c r="C326" s="1" t="n">
        <v>45886</v>
      </c>
      <c r="D326" t="inlineStr">
        <is>
          <t>NORRBOTTENS LÄN</t>
        </is>
      </c>
      <c r="E326" t="inlineStr">
        <is>
          <t>ÄLVSBYN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55798-2024</t>
        </is>
      </c>
      <c r="B327" s="1" t="n">
        <v>45623</v>
      </c>
      <c r="C327" s="1" t="n">
        <v>45886</v>
      </c>
      <c r="D327" t="inlineStr">
        <is>
          <t>NORRBOTTENS LÄN</t>
        </is>
      </c>
      <c r="E327" t="inlineStr">
        <is>
          <t>ÄLVSBYN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37731-2022</t>
        </is>
      </c>
      <c r="B328" s="1" t="n">
        <v>44810.57025462963</v>
      </c>
      <c r="C328" s="1" t="n">
        <v>45886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39020-2024</t>
        </is>
      </c>
      <c r="B329" s="1" t="n">
        <v>45548</v>
      </c>
      <c r="C329" s="1" t="n">
        <v>45886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47695-2021</t>
        </is>
      </c>
      <c r="B330" s="1" t="n">
        <v>44448</v>
      </c>
      <c r="C330" s="1" t="n">
        <v>45886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51981-2022</t>
        </is>
      </c>
      <c r="B331" s="1" t="n">
        <v>44872</v>
      </c>
      <c r="C331" s="1" t="n">
        <v>45886</v>
      </c>
      <c r="D331" t="inlineStr">
        <is>
          <t>NORRBOTTENS LÄN</t>
        </is>
      </c>
      <c r="E331" t="inlineStr">
        <is>
          <t>ÄLVSBYN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13368-2025</t>
        </is>
      </c>
      <c r="B332" s="1" t="n">
        <v>45735</v>
      </c>
      <c r="C332" s="1" t="n">
        <v>45886</v>
      </c>
      <c r="D332" t="inlineStr">
        <is>
          <t>NORRBOTTENS LÄN</t>
        </is>
      </c>
      <c r="E332" t="inlineStr">
        <is>
          <t>ÄLVSBYN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29638-2023</t>
        </is>
      </c>
      <c r="B333" s="1" t="n">
        <v>45098</v>
      </c>
      <c r="C333" s="1" t="n">
        <v>45886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45886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15180-2025</t>
        </is>
      </c>
      <c r="B335" s="1" t="n">
        <v>45744.52540509259</v>
      </c>
      <c r="C335" s="1" t="n">
        <v>45886</v>
      </c>
      <c r="D335" t="inlineStr">
        <is>
          <t>NORRBOTTENS LÄN</t>
        </is>
      </c>
      <c r="E335" t="inlineStr">
        <is>
          <t>ÄLVSBYN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5650-2024</t>
        </is>
      </c>
      <c r="B336" s="1" t="n">
        <v>45334</v>
      </c>
      <c r="C336" s="1" t="n">
        <v>45886</v>
      </c>
      <c r="D336" t="inlineStr">
        <is>
          <t>NORRBOTTENS LÄN</t>
        </is>
      </c>
      <c r="E336" t="inlineStr">
        <is>
          <t>ÄLVSBYN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6825-2023</t>
        </is>
      </c>
      <c r="B337" s="1" t="n">
        <v>44967.40280092593</v>
      </c>
      <c r="C337" s="1" t="n">
        <v>45886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32952-2024</t>
        </is>
      </c>
      <c r="B338" s="1" t="n">
        <v>45517</v>
      </c>
      <c r="C338" s="1" t="n">
        <v>45886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50375-2023</t>
        </is>
      </c>
      <c r="B339" s="1" t="n">
        <v>45216</v>
      </c>
      <c r="C339" s="1" t="n">
        <v>45886</v>
      </c>
      <c r="D339" t="inlineStr">
        <is>
          <t>NORRBOTTENS LÄN</t>
        </is>
      </c>
      <c r="E339" t="inlineStr">
        <is>
          <t>ÄLVSBYN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58505-2023</t>
        </is>
      </c>
      <c r="B340" s="1" t="n">
        <v>45251.36628472222</v>
      </c>
      <c r="C340" s="1" t="n">
        <v>45886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44365-2024</t>
        </is>
      </c>
      <c r="B341" s="1" t="n">
        <v>45573</v>
      </c>
      <c r="C341" s="1" t="n">
        <v>45886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19563-2025</t>
        </is>
      </c>
      <c r="B342" s="1" t="n">
        <v>45770</v>
      </c>
      <c r="C342" s="1" t="n">
        <v>45886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43-2023</t>
        </is>
      </c>
      <c r="B343" s="1" t="n">
        <v>44918</v>
      </c>
      <c r="C343" s="1" t="n">
        <v>45886</v>
      </c>
      <c r="D343" t="inlineStr">
        <is>
          <t>NORRBOTTENS LÄN</t>
        </is>
      </c>
      <c r="E343" t="inlineStr">
        <is>
          <t>ÄLVSBYN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50924-2021</t>
        </is>
      </c>
      <c r="B344" s="1" t="n">
        <v>44460</v>
      </c>
      <c r="C344" s="1" t="n">
        <v>45886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22-2023</t>
        </is>
      </c>
      <c r="B345" s="1" t="n">
        <v>44918</v>
      </c>
      <c r="C345" s="1" t="n">
        <v>45886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58321-2024</t>
        </is>
      </c>
      <c r="B346" s="1" t="n">
        <v>45632</v>
      </c>
      <c r="C346" s="1" t="n">
        <v>45886</v>
      </c>
      <c r="D346" t="inlineStr">
        <is>
          <t>NORRBOTTENS LÄN</t>
        </is>
      </c>
      <c r="E346" t="inlineStr">
        <is>
          <t>ÄLVSBYN</t>
        </is>
      </c>
      <c r="G346" t="n">
        <v>22.1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51457-2023</t>
        </is>
      </c>
      <c r="B347" s="1" t="n">
        <v>45220</v>
      </c>
      <c r="C347" s="1" t="n">
        <v>45886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47391-2024</t>
        </is>
      </c>
      <c r="B348" s="1" t="n">
        <v>45587.47009259259</v>
      </c>
      <c r="C348" s="1" t="n">
        <v>45886</v>
      </c>
      <c r="D348" t="inlineStr">
        <is>
          <t>NORRBOTTENS LÄN</t>
        </is>
      </c>
      <c r="E348" t="inlineStr">
        <is>
          <t>ÄLVSBYN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58908-2022</t>
        </is>
      </c>
      <c r="B349" s="1" t="n">
        <v>44896</v>
      </c>
      <c r="C349" s="1" t="n">
        <v>45886</v>
      </c>
      <c r="D349" t="inlineStr">
        <is>
          <t>NORRBOTTENS LÄN</t>
        </is>
      </c>
      <c r="E349" t="inlineStr">
        <is>
          <t>ÄLVSBYN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45103.9419212963</v>
      </c>
      <c r="C350" s="1" t="n">
        <v>45886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51684-2024</t>
        </is>
      </c>
      <c r="B351" s="1" t="n">
        <v>45607</v>
      </c>
      <c r="C351" s="1" t="n">
        <v>45886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30690-2024</t>
        </is>
      </c>
      <c r="B352" s="1" t="n">
        <v>45495</v>
      </c>
      <c r="C352" s="1" t="n">
        <v>45886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45949-2024</t>
        </is>
      </c>
      <c r="B353" s="1" t="n">
        <v>45580</v>
      </c>
      <c r="C353" s="1" t="n">
        <v>45886</v>
      </c>
      <c r="D353" t="inlineStr">
        <is>
          <t>NORRBOTTENS LÄN</t>
        </is>
      </c>
      <c r="E353" t="inlineStr">
        <is>
          <t>ÄLVSBYN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52087-2022</t>
        </is>
      </c>
      <c r="B354" s="1" t="n">
        <v>44873</v>
      </c>
      <c r="C354" s="1" t="n">
        <v>45886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13329-2025</t>
        </is>
      </c>
      <c r="B355" s="1" t="n">
        <v>45735</v>
      </c>
      <c r="C355" s="1" t="n">
        <v>45886</v>
      </c>
      <c r="D355" t="inlineStr">
        <is>
          <t>NORRBOTTENS LÄN</t>
        </is>
      </c>
      <c r="E355" t="inlineStr">
        <is>
          <t>ÄLVSBYN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18090-2025</t>
        </is>
      </c>
      <c r="B356" s="1" t="n">
        <v>45761</v>
      </c>
      <c r="C356" s="1" t="n">
        <v>45886</v>
      </c>
      <c r="D356" t="inlineStr">
        <is>
          <t>NORRBOTTENS LÄN</t>
        </is>
      </c>
      <c r="E356" t="inlineStr">
        <is>
          <t>ÄLVSBYN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28757-2023</t>
        </is>
      </c>
      <c r="B357" s="1" t="n">
        <v>45103</v>
      </c>
      <c r="C357" s="1" t="n">
        <v>45886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45724-2024</t>
        </is>
      </c>
      <c r="B358" s="1" t="n">
        <v>45579.5946875</v>
      </c>
      <c r="C358" s="1" t="n">
        <v>45886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2025-08-17T08:31:33Z</dcterms:created>
  <dcterms:modified xmlns:dcterms="http://purl.org/dc/terms/" xmlns:xsi="http://www.w3.org/2001/XMLSchema-instance" xsi:type="dcterms:W3CDTF">2025-08-17T08:31:33Z</dcterms:modified>
</cp:coreProperties>
</file>