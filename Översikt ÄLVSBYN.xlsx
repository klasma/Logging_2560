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45583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Stuplav
Tallfingersvamp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45583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586-2024</t>
        </is>
      </c>
      <c r="B15" s="1" t="n">
        <v>45299</v>
      </c>
      <c r="C15" s="1" t="n">
        <v>45583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19.5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Motaggsvamp
Orange taggsvamp
Svart taggsvamp
Skarp dropptaggsvamp</t>
        </is>
      </c>
      <c r="S15">
        <f>HYPERLINK("https://klasma.github.io/Logging_2560/artfynd/A 586-2024 artfynd.xlsx", "A 586-2024")</f>
        <v/>
      </c>
      <c r="T15">
        <f>HYPERLINK("https://klasma.github.io/Logging_2560/kartor/A 586-2024 karta.png", "A 586-2024")</f>
        <v/>
      </c>
      <c r="V15">
        <f>HYPERLINK("https://klasma.github.io/Logging_2560/klagomål/A 586-2024 FSC-klagomål.docx", "A 586-2024")</f>
        <v/>
      </c>
      <c r="W15">
        <f>HYPERLINK("https://klasma.github.io/Logging_2560/klagomålsmail/A 586-2024 FSC-klagomål mail.docx", "A 586-2024")</f>
        <v/>
      </c>
      <c r="X15">
        <f>HYPERLINK("https://klasma.github.io/Logging_2560/tillsyn/A 586-2024 tillsynsbegäran.docx", "A 586-2024")</f>
        <v/>
      </c>
      <c r="Y15">
        <f>HYPERLINK("https://klasma.github.io/Logging_2560/tillsynsmail/A 586-2024 tillsynsbegäran mail.docx", "A 586-2024")</f>
        <v/>
      </c>
    </row>
    <row r="16" ht="15" customHeight="1">
      <c r="A16" t="inlineStr">
        <is>
          <t>A 26736-2024</t>
        </is>
      </c>
      <c r="B16" s="1" t="n">
        <v>45470</v>
      </c>
      <c r="C16" s="1" t="n">
        <v>45583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26736-2024 artfynd.xlsx", "A 26736-2024")</f>
        <v/>
      </c>
      <c r="T16">
        <f>HYPERLINK("https://klasma.github.io/Logging_2560/kartor/A 26736-2024 karta.png", "A 26736-2024")</f>
        <v/>
      </c>
      <c r="V16">
        <f>HYPERLINK("https://klasma.github.io/Logging_2560/klagomål/A 26736-2024 FSC-klagomål.docx", "A 26736-2024")</f>
        <v/>
      </c>
      <c r="W16">
        <f>HYPERLINK("https://klasma.github.io/Logging_2560/klagomålsmail/A 26736-2024 FSC-klagomål mail.docx", "A 26736-2024")</f>
        <v/>
      </c>
      <c r="X16">
        <f>HYPERLINK("https://klasma.github.io/Logging_2560/tillsyn/A 26736-2024 tillsynsbegäran.docx", "A 26736-2024")</f>
        <v/>
      </c>
      <c r="Y16">
        <f>HYPERLINK("https://klasma.github.io/Logging_2560/tillsynsmail/A 26736-2024 tillsynsbegäran mail.docx", "A 26736-2024")</f>
        <v/>
      </c>
    </row>
    <row r="17" ht="15" customHeight="1">
      <c r="A17" t="inlineStr">
        <is>
          <t>A 26968-2024</t>
        </is>
      </c>
      <c r="B17" s="1" t="n">
        <v>45471</v>
      </c>
      <c r="C17" s="1" t="n">
        <v>45583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26968-2024 artfynd.xlsx", "A 26968-2024")</f>
        <v/>
      </c>
      <c r="T17">
        <f>HYPERLINK("https://klasma.github.io/Logging_2560/kartor/A 26968-2024 karta.png", "A 26968-2024")</f>
        <v/>
      </c>
      <c r="V17">
        <f>HYPERLINK("https://klasma.github.io/Logging_2560/klagomål/A 26968-2024 FSC-klagomål.docx", "A 26968-2024")</f>
        <v/>
      </c>
      <c r="W17">
        <f>HYPERLINK("https://klasma.github.io/Logging_2560/klagomålsmail/A 26968-2024 FSC-klagomål mail.docx", "A 26968-2024")</f>
        <v/>
      </c>
      <c r="X17">
        <f>HYPERLINK("https://klasma.github.io/Logging_2560/tillsyn/A 26968-2024 tillsynsbegäran.docx", "A 26968-2024")</f>
        <v/>
      </c>
      <c r="Y17">
        <f>HYPERLINK("https://klasma.github.io/Logging_2560/tillsynsmail/A 26968-2024 tillsynsbegäran mail.docx", "A 26968-2024")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45583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2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Knärot
Gammelgransskål
Garnlav
Knottrig blåslav
Spillkråka
Vitgrynig nållav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45320-2024</t>
        </is>
      </c>
      <c r="B19" s="1" t="n">
        <v>45576</v>
      </c>
      <c r="C19" s="1" t="n">
        <v>45583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7.8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Motaggsvamp
Talltita
Vaddporing
Vedskivlav</t>
        </is>
      </c>
      <c r="S19">
        <f>HYPERLINK("https://klasma.github.io/Logging_2560/artfynd/A 45320-2024 artfynd.xlsx", "A 45320-2024")</f>
        <v/>
      </c>
      <c r="T19">
        <f>HYPERLINK("https://klasma.github.io/Logging_2560/kartor/A 45320-2024 karta.png", "A 45320-2024")</f>
        <v/>
      </c>
      <c r="V19">
        <f>HYPERLINK("https://klasma.github.io/Logging_2560/klagomål/A 45320-2024 FSC-klagomål.docx", "A 45320-2024")</f>
        <v/>
      </c>
      <c r="W19">
        <f>HYPERLINK("https://klasma.github.io/Logging_2560/klagomålsmail/A 45320-2024 FSC-klagomål mail.docx", "A 45320-2024")</f>
        <v/>
      </c>
      <c r="X19">
        <f>HYPERLINK("https://klasma.github.io/Logging_2560/tillsyn/A 45320-2024 tillsynsbegäran.docx", "A 45320-2024")</f>
        <v/>
      </c>
      <c r="Y19">
        <f>HYPERLINK("https://klasma.github.io/Logging_2560/tillsynsmail/A 45320-2024 tillsynsbegäran mail.docx", "A 45320-2024")</f>
        <v/>
      </c>
      <c r="Z19">
        <f>HYPERLINK("https://klasma.github.io/Logging_2560/fåglar/A 45320-2024 prioriterade fågelarter.docx", "A 45320-2024")</f>
        <v/>
      </c>
    </row>
    <row r="20" ht="15" customHeight="1">
      <c r="A20" t="inlineStr">
        <is>
          <t>A 3752-2023</t>
        </is>
      </c>
      <c r="B20" s="1" t="n">
        <v>44949</v>
      </c>
      <c r="C20" s="1" t="n">
        <v>45583</v>
      </c>
      <c r="D20" t="inlineStr">
        <is>
          <t>NORRBOTTENS LÄN</t>
        </is>
      </c>
      <c r="E20" t="inlineStr">
        <is>
          <t>ÄLVSBYN</t>
        </is>
      </c>
      <c r="G20" t="n">
        <v>3.7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HYPERLINK("https://klasma.github.io/Logging_2560/artfynd/A 3752-2023 artfynd.xlsx", "A 3752-2023")</f>
        <v/>
      </c>
      <c r="T20">
        <f>HYPERLINK("https://klasma.github.io/Logging_2560/kartor/A 3752-2023 karta.png", "A 3752-2023")</f>
        <v/>
      </c>
      <c r="V20">
        <f>HYPERLINK("https://klasma.github.io/Logging_2560/klagomål/A 3752-2023 FSC-klagomål.docx", "A 3752-2023")</f>
        <v/>
      </c>
      <c r="W20">
        <f>HYPERLINK("https://klasma.github.io/Logging_2560/klagomålsmail/A 3752-2023 FSC-klagomål mail.docx", "A 3752-2023")</f>
        <v/>
      </c>
      <c r="X20">
        <f>HYPERLINK("https://klasma.github.io/Logging_2560/tillsyn/A 3752-2023 tillsynsbegäran.docx", "A 3752-2023")</f>
        <v/>
      </c>
      <c r="Y20">
        <f>HYPERLINK("https://klasma.github.io/Logging_2560/tillsynsmail/A 3752-2023 tillsynsbegäran mail.docx", "A 3752-2023")</f>
        <v/>
      </c>
      <c r="Z20">
        <f>HYPERLINK("https://klasma.github.io/Logging_2560/fåglar/A 3752-2023 prioriterade fågelarter.docx", "A 3752-2023")</f>
        <v/>
      </c>
    </row>
    <row r="21" ht="15" customHeight="1">
      <c r="A21" t="inlineStr">
        <is>
          <t>A 28088-2023</t>
        </is>
      </c>
      <c r="B21" s="1" t="n">
        <v>45099</v>
      </c>
      <c r="C21" s="1" t="n">
        <v>45583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5.6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Kolflarnlav
Lunglav</t>
        </is>
      </c>
      <c r="S21">
        <f>HYPERLINK("https://klasma.github.io/Logging_2560/artfynd/A 28088-2023 artfynd.xlsx", "A 28088-2023")</f>
        <v/>
      </c>
      <c r="T21">
        <f>HYPERLINK("https://klasma.github.io/Logging_2560/kartor/A 28088-2023 karta.png", "A 28088-2023")</f>
        <v/>
      </c>
      <c r="V21">
        <f>HYPERLINK("https://klasma.github.io/Logging_2560/klagomål/A 28088-2023 FSC-klagomål.docx", "A 28088-2023")</f>
        <v/>
      </c>
      <c r="W21">
        <f>HYPERLINK("https://klasma.github.io/Logging_2560/klagomålsmail/A 28088-2023 FSC-klagomål mail.docx", "A 28088-2023")</f>
        <v/>
      </c>
      <c r="X21">
        <f>HYPERLINK("https://klasma.github.io/Logging_2560/tillsyn/A 28088-2023 tillsynsbegäran.docx", "A 28088-2023")</f>
        <v/>
      </c>
      <c r="Y21">
        <f>HYPERLINK("https://klasma.github.io/Logging_2560/tillsynsmail/A 28088-2023 tillsynsbegäran mail.docx", "A 28088-2023")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45583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45583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45583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8612-2020</t>
        </is>
      </c>
      <c r="B25" s="1" t="n">
        <v>43875</v>
      </c>
      <c r="C25" s="1" t="n">
        <v>45583</v>
      </c>
      <c r="D25" t="inlineStr">
        <is>
          <t>NORRBOTTENS LÄN</t>
        </is>
      </c>
      <c r="E25" t="inlineStr">
        <is>
          <t>ÄLVSBYN</t>
        </is>
      </c>
      <c r="G25" t="n">
        <v>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Rotfingersvamp
Smalfotad taggsvamp</t>
        </is>
      </c>
      <c r="S25">
        <f>HYPERLINK("https://klasma.github.io/Logging_2560/artfynd/A 8612-2020 artfynd.xlsx", "A 8612-2020")</f>
        <v/>
      </c>
      <c r="T25">
        <f>HYPERLINK("https://klasma.github.io/Logging_2560/kartor/A 8612-2020 karta.png", "A 8612-2020")</f>
        <v/>
      </c>
      <c r="V25">
        <f>HYPERLINK("https://klasma.github.io/Logging_2560/klagomål/A 8612-2020 FSC-klagomål.docx", "A 8612-2020")</f>
        <v/>
      </c>
      <c r="W25">
        <f>HYPERLINK("https://klasma.github.io/Logging_2560/klagomålsmail/A 8612-2020 FSC-klagomål mail.docx", "A 8612-2020")</f>
        <v/>
      </c>
      <c r="X25">
        <f>HYPERLINK("https://klasma.github.io/Logging_2560/tillsyn/A 8612-2020 tillsynsbegäran.docx", "A 8612-2020")</f>
        <v/>
      </c>
      <c r="Y25">
        <f>HYPERLINK("https://klasma.github.io/Logging_2560/tillsynsmail/A 8612-2020 tillsynsbegäran mail.docx", "A 8612-2020")</f>
        <v/>
      </c>
    </row>
    <row r="26" ht="15" customHeight="1">
      <c r="A26" t="inlineStr">
        <is>
          <t>A 52177-2021</t>
        </is>
      </c>
      <c r="B26" s="1" t="n">
        <v>44463</v>
      </c>
      <c r="C26" s="1" t="n">
        <v>45583</v>
      </c>
      <c r="D26" t="inlineStr">
        <is>
          <t>NORRBOTTENS LÄN</t>
        </is>
      </c>
      <c r="E26" t="inlineStr">
        <is>
          <t>ÄLVSBYN</t>
        </is>
      </c>
      <c r="G26" t="n">
        <v>36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Tjäder</t>
        </is>
      </c>
      <c r="S26">
        <f>HYPERLINK("https://klasma.github.io/Logging_2560/artfynd/A 52177-2021 artfynd.xlsx", "A 52177-2021")</f>
        <v/>
      </c>
      <c r="T26">
        <f>HYPERLINK("https://klasma.github.io/Logging_2560/kartor/A 52177-2021 karta.png", "A 52177-2021")</f>
        <v/>
      </c>
      <c r="V26">
        <f>HYPERLINK("https://klasma.github.io/Logging_2560/klagomål/A 52177-2021 FSC-klagomål.docx", "A 52177-2021")</f>
        <v/>
      </c>
      <c r="W26">
        <f>HYPERLINK("https://klasma.github.io/Logging_2560/klagomålsmail/A 52177-2021 FSC-klagomål mail.docx", "A 52177-2021")</f>
        <v/>
      </c>
      <c r="X26">
        <f>HYPERLINK("https://klasma.github.io/Logging_2560/tillsyn/A 52177-2021 tillsynsbegäran.docx", "A 52177-2021")</f>
        <v/>
      </c>
      <c r="Y26">
        <f>HYPERLINK("https://klasma.github.io/Logging_2560/tillsynsmail/A 52177-2021 tillsynsbegäran mail.docx", "A 52177-2021")</f>
        <v/>
      </c>
      <c r="Z26">
        <f>HYPERLINK("https://klasma.github.io/Logging_2560/fåglar/A 52177-2021 prioriterade fågelarter.docx", "A 52177-2021")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45583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29877-2023</t>
        </is>
      </c>
      <c r="B28" s="1" t="n">
        <v>45107</v>
      </c>
      <c r="C28" s="1" t="n">
        <v>45583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Lunglav</t>
        </is>
      </c>
      <c r="S28">
        <f>HYPERLINK("https://klasma.github.io/Logging_2560/artfynd/A 29877-2023 artfynd.xlsx", "A 29877-2023")</f>
        <v/>
      </c>
      <c r="T28">
        <f>HYPERLINK("https://klasma.github.io/Logging_2560/kartor/A 29877-2023 karta.png", "A 29877-2023")</f>
        <v/>
      </c>
      <c r="V28">
        <f>HYPERLINK("https://klasma.github.io/Logging_2560/klagomål/A 29877-2023 FSC-klagomål.docx", "A 29877-2023")</f>
        <v/>
      </c>
      <c r="W28">
        <f>HYPERLINK("https://klasma.github.io/Logging_2560/klagomålsmail/A 29877-2023 FSC-klagomål mail.docx", "A 29877-2023")</f>
        <v/>
      </c>
      <c r="X28">
        <f>HYPERLINK("https://klasma.github.io/Logging_2560/tillsyn/A 29877-2023 tillsynsbegäran.docx", "A 29877-2023")</f>
        <v/>
      </c>
      <c r="Y28">
        <f>HYPERLINK("https://klasma.github.io/Logging_2560/tillsynsmail/A 29877-2023 tillsynsbegäran mail.docx", "A 29877-2023")</f>
        <v/>
      </c>
    </row>
    <row r="29" ht="15" customHeight="1">
      <c r="A29" t="inlineStr">
        <is>
          <t>A 47131-2023</t>
        </is>
      </c>
      <c r="B29" s="1" t="n">
        <v>45201</v>
      </c>
      <c r="C29" s="1" t="n">
        <v>45583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13.6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Tallriska</t>
        </is>
      </c>
      <c r="S29">
        <f>HYPERLINK("https://klasma.github.io/Logging_2560/artfynd/A 47131-2023 artfynd.xlsx", "A 47131-2023")</f>
        <v/>
      </c>
      <c r="T29">
        <f>HYPERLINK("https://klasma.github.io/Logging_2560/kartor/A 47131-2023 karta.png", "A 47131-2023")</f>
        <v/>
      </c>
      <c r="V29">
        <f>HYPERLINK("https://klasma.github.io/Logging_2560/klagomål/A 47131-2023 FSC-klagomål.docx", "A 47131-2023")</f>
        <v/>
      </c>
      <c r="W29">
        <f>HYPERLINK("https://klasma.github.io/Logging_2560/klagomålsmail/A 47131-2023 FSC-klagomål mail.docx", "A 47131-2023")</f>
        <v/>
      </c>
      <c r="X29">
        <f>HYPERLINK("https://klasma.github.io/Logging_2560/tillsyn/A 47131-2023 tillsynsbegäran.docx", "A 47131-2023")</f>
        <v/>
      </c>
      <c r="Y29">
        <f>HYPERLINK("https://klasma.github.io/Logging_2560/tillsynsmail/A 47131-2023 tillsynsbegäran mail.docx", "A 47131-2023")</f>
        <v/>
      </c>
    </row>
    <row r="30" ht="15" customHeight="1">
      <c r="A30" t="inlineStr">
        <is>
          <t>A 569-2024</t>
        </is>
      </c>
      <c r="B30" s="1" t="n">
        <v>45299</v>
      </c>
      <c r="C30" s="1" t="n">
        <v>45583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Skarp dropptaggsvamp</t>
        </is>
      </c>
      <c r="S30">
        <f>HYPERLINK("https://klasma.github.io/Logging_2560/artfynd/A 569-2024 artfynd.xlsx", "A 569-2024")</f>
        <v/>
      </c>
      <c r="T30">
        <f>HYPERLINK("https://klasma.github.io/Logging_2560/kartor/A 569-2024 karta.png", "A 569-2024")</f>
        <v/>
      </c>
      <c r="V30">
        <f>HYPERLINK("https://klasma.github.io/Logging_2560/klagomål/A 569-2024 FSC-klagomål.docx", "A 569-2024")</f>
        <v/>
      </c>
      <c r="W30">
        <f>HYPERLINK("https://klasma.github.io/Logging_2560/klagomålsmail/A 569-2024 FSC-klagomål mail.docx", "A 569-2024")</f>
        <v/>
      </c>
      <c r="X30">
        <f>HYPERLINK("https://klasma.github.io/Logging_2560/tillsyn/A 569-2024 tillsynsbegäran.docx", "A 569-2024")</f>
        <v/>
      </c>
      <c r="Y30">
        <f>HYPERLINK("https://klasma.github.io/Logging_2560/tillsynsmail/A 569-2024 tillsynsbegäran mail.docx", "A 569-2024")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45583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45583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45583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45583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45583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45583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45583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45583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45583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45583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45583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45583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45583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45583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45583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45583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45583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45583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45583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45583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45583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45583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45583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45583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45583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45583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45583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45583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45583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45583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45583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45583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45583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45583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45583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45583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45583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45583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45583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45583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45583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45583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45583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45583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45583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45583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45583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45583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45583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45583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45583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45583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45583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45583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45583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45583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45583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45583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45583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45583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45583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45583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45583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45583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45583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45583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45583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45583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45583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45583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45583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45583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45583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45583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45583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45583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45583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45583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45583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45583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45583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45583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45583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45583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45583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45583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45583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45583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45583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45583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45583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45583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45583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45583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45583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45583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45583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45583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45583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45583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45583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45583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45583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45583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45583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45583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45583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45583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45583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45583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45583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45583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45583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45583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45583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45583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45583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45583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45583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45583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45583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45583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45583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45583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45583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45583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45583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45583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45583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45583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45583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45583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45583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45583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45583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45583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45583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45583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45583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45583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45583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45583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45583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45583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45583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45583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45583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45583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45583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45583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45583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45583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45583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45583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45583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45583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45583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45583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45583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45583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45583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45583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45583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45583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45583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45583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45583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45583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45583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45583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45583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45583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45583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45583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45583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45583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45583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45583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45583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45583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45583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45583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45583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45583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45583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45583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45583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45583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45583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45583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45583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45583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45583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45583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45583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45583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45583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45583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45583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45583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45583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45583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45583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45583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45583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45583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45583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45583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45583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45583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45583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45583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45583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45583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45583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45583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45583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45583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45583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45583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45583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45583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45583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45583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45583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45583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45583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45583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45583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45583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45583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45583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45583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45583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45583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45583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45583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45583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45583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45583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45583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45583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45583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45583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45583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45583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45583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45583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45583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45583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45583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45583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45583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45583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45583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45583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45583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45583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45583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45583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45583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45583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45583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45583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45583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45583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45583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45583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45583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45583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45583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45583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45583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45583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45583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45583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45583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45583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45583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45583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45583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45583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45583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45583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45583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45583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45583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45583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45583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45583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45583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45583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45583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45583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45583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45583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45583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45583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45583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45583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45583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45583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45583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45583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45583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45583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45583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45583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45583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45583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45583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45583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45583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45583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45583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45583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45583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45583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45583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45583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45583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45583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45583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45583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45583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45583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45583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45583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45583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45583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45583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45583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45583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45583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45583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45583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45583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45583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45583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45583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45583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45583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45583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45583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45583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45583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45583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45583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45583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45583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45583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45583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45583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45583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45583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45583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45583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45583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45583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45583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45583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45583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45583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45583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45583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45583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45583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45583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45583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45583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45583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45583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45583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45583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45583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45583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45583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45583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45583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45583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45583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45583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45583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45583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45583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45583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45583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45583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45583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45583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45583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45583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45583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45583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45583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45583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45583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45583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45583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45583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45583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45583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45583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45583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45583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45583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45583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45583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45583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45583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45583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45583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45583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45583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45583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45583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45583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45583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45583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45583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45583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45583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45583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45583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45583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45583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45583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45583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45583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45583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45583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45583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45583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45583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45583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45583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45583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45583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45583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45583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45583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45583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45583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45583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45583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45583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45583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45583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45583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45583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45583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45583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45583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45583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45583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45583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45583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45583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45583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45583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45583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45583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45583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45583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45583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45583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45583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45583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45583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45583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45583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45583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45583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45583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45583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45583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45583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45583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45583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45583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45583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45583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39645-2024</t>
        </is>
      </c>
      <c r="B590" s="1" t="n">
        <v>45552</v>
      </c>
      <c r="C590" s="1" t="n">
        <v>45583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45583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40282-2024</t>
        </is>
      </c>
      <c r="B592" s="1" t="n">
        <v>45554</v>
      </c>
      <c r="C592" s="1" t="n">
        <v>45583</v>
      </c>
      <c r="D592" t="inlineStr">
        <is>
          <t>NORRBOTTENS LÄN</t>
        </is>
      </c>
      <c r="E592" t="inlineStr">
        <is>
          <t>ÄLVSBYN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40284-2024</t>
        </is>
      </c>
      <c r="B593" s="1" t="n">
        <v>45554</v>
      </c>
      <c r="C593" s="1" t="n">
        <v>45583</v>
      </c>
      <c r="D593" t="inlineStr">
        <is>
          <t>NORRBOTTENS LÄN</t>
        </is>
      </c>
      <c r="E593" t="inlineStr">
        <is>
          <t>ÄLVSBYN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45583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41964-2024</t>
        </is>
      </c>
      <c r="B595" s="1" t="n">
        <v>45561</v>
      </c>
      <c r="C595" s="1" t="n">
        <v>45583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41989-2024</t>
        </is>
      </c>
      <c r="B596" s="1" t="n">
        <v>45561</v>
      </c>
      <c r="C596" s="1" t="n">
        <v>45583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41845-2024</t>
        </is>
      </c>
      <c r="B597" s="1" t="n">
        <v>45561</v>
      </c>
      <c r="C597" s="1" t="n">
        <v>45583</v>
      </c>
      <c r="D597" t="inlineStr">
        <is>
          <t>NORRBOTTENS LÄN</t>
        </is>
      </c>
      <c r="E597" t="inlineStr">
        <is>
          <t>ÄLVSBYN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42477-2024</t>
        </is>
      </c>
      <c r="B598" s="1" t="n">
        <v>45565</v>
      </c>
      <c r="C598" s="1" t="n">
        <v>45583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42475-2024</t>
        </is>
      </c>
      <c r="B599" s="1" t="n">
        <v>45565</v>
      </c>
      <c r="C599" s="1" t="n">
        <v>45583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42483-2024</t>
        </is>
      </c>
      <c r="B600" s="1" t="n">
        <v>45565</v>
      </c>
      <c r="C600" s="1" t="n">
        <v>45583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42506-2024</t>
        </is>
      </c>
      <c r="B601" s="1" t="n">
        <v>45565</v>
      </c>
      <c r="C601" s="1" t="n">
        <v>45583</v>
      </c>
      <c r="D601" t="inlineStr">
        <is>
          <t>NORRBOTTENS LÄN</t>
        </is>
      </c>
      <c r="E601" t="inlineStr">
        <is>
          <t>ÄLVSBYN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42499-2024</t>
        </is>
      </c>
      <c r="B602" s="1" t="n">
        <v>45565</v>
      </c>
      <c r="C602" s="1" t="n">
        <v>45583</v>
      </c>
      <c r="D602" t="inlineStr">
        <is>
          <t>NORRBOTTENS LÄN</t>
        </is>
      </c>
      <c r="E602" t="inlineStr">
        <is>
          <t>ÄLVSBYN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42558-2024</t>
        </is>
      </c>
      <c r="B603" s="1" t="n">
        <v>45565</v>
      </c>
      <c r="C603" s="1" t="n">
        <v>45583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42574-2024</t>
        </is>
      </c>
      <c r="B604" s="1" t="n">
        <v>45565</v>
      </c>
      <c r="C604" s="1" t="n">
        <v>45583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42444-2024</t>
        </is>
      </c>
      <c r="B605" s="1" t="n">
        <v>45565</v>
      </c>
      <c r="C605" s="1" t="n">
        <v>45583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42505-2024</t>
        </is>
      </c>
      <c r="B606" s="1" t="n">
        <v>45565</v>
      </c>
      <c r="C606" s="1" t="n">
        <v>45583</v>
      </c>
      <c r="D606" t="inlineStr">
        <is>
          <t>NORRBOTTENS LÄN</t>
        </is>
      </c>
      <c r="E606" t="inlineStr">
        <is>
          <t>ÄLVSBYN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42568-2024</t>
        </is>
      </c>
      <c r="B607" s="1" t="n">
        <v>45565</v>
      </c>
      <c r="C607" s="1" t="n">
        <v>45583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45583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43775-2024</t>
        </is>
      </c>
      <c r="B610" s="1" t="n">
        <v>45570</v>
      </c>
      <c r="C610" s="1" t="n">
        <v>45583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43776-2024</t>
        </is>
      </c>
      <c r="B611" s="1" t="n">
        <v>45570</v>
      </c>
      <c r="C611" s="1" t="n">
        <v>45583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44252-2024</t>
        </is>
      </c>
      <c r="B612" s="1" t="n">
        <v>45573</v>
      </c>
      <c r="C612" s="1" t="n">
        <v>45583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44348-2024</t>
        </is>
      </c>
      <c r="B613" s="1" t="n">
        <v>45573</v>
      </c>
      <c r="C613" s="1" t="n">
        <v>45583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44213-2024</t>
        </is>
      </c>
      <c r="B614" s="1" t="n">
        <v>45573</v>
      </c>
      <c r="C614" s="1" t="n">
        <v>45583</v>
      </c>
      <c r="D614" t="inlineStr">
        <is>
          <t>NORRBOTTENS LÄN</t>
        </is>
      </c>
      <c r="E614" t="inlineStr">
        <is>
          <t>ÄLVSBYN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44255-2024</t>
        </is>
      </c>
      <c r="B615" s="1" t="n">
        <v>45573</v>
      </c>
      <c r="C615" s="1" t="n">
        <v>45583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44365-2024</t>
        </is>
      </c>
      <c r="B616" s="1" t="n">
        <v>45573</v>
      </c>
      <c r="C616" s="1" t="n">
        <v>45583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45583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45316-2024</t>
        </is>
      </c>
      <c r="B618" s="1" t="n">
        <v>45576</v>
      </c>
      <c r="C618" s="1" t="n">
        <v>45583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45302-2024</t>
        </is>
      </c>
      <c r="B619" s="1" t="n">
        <v>45576</v>
      </c>
      <c r="C619" s="1" t="n">
        <v>45583</v>
      </c>
      <c r="D619" t="inlineStr">
        <is>
          <t>NORRBOTTENS LÄN</t>
        </is>
      </c>
      <c r="E619" t="inlineStr">
        <is>
          <t>ÄLVSBYN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45310-2024</t>
        </is>
      </c>
      <c r="B620" s="1" t="n">
        <v>45576</v>
      </c>
      <c r="C620" s="1" t="n">
        <v>45583</v>
      </c>
      <c r="D620" t="inlineStr">
        <is>
          <t>NORRBOTTENS LÄN</t>
        </is>
      </c>
      <c r="E620" t="inlineStr">
        <is>
          <t>ÄLVSBYN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45314-2024</t>
        </is>
      </c>
      <c r="B621" s="1" t="n">
        <v>45576</v>
      </c>
      <c r="C621" s="1" t="n">
        <v>45583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45317-2024</t>
        </is>
      </c>
      <c r="B622" s="1" t="n">
        <v>45576</v>
      </c>
      <c r="C622" s="1" t="n">
        <v>45583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45724-2024</t>
        </is>
      </c>
      <c r="B623" s="1" t="n">
        <v>45579</v>
      </c>
      <c r="C623" s="1" t="n">
        <v>45583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45808-2024</t>
        </is>
      </c>
      <c r="B624" s="1" t="n">
        <v>45579</v>
      </c>
      <c r="C624" s="1" t="n">
        <v>45583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45949-2024</t>
        </is>
      </c>
      <c r="B625" s="1" t="n">
        <v>45580</v>
      </c>
      <c r="C625" s="1" t="n">
        <v>45583</v>
      </c>
      <c r="D625" t="inlineStr">
        <is>
          <t>NORRBOTTENS LÄN</t>
        </is>
      </c>
      <c r="E625" t="inlineStr">
        <is>
          <t>ÄLVSBYN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2024-10-18T13:16:41Z</dcterms:created>
  <dcterms:modified xmlns:dcterms="http://purl.org/dc/terms/" xmlns:xsi="http://www.w3.org/2001/XMLSchema-instance" xsi:type="dcterms:W3CDTF">2024-10-18T13:16:42Z</dcterms:modified>
</cp:coreProperties>
</file>