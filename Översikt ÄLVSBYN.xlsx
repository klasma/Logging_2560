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56243-2024</t>
        </is>
      </c>
      <c r="B2" t="inlineStr">
        <is>
          <t>avverkningsanmälan</t>
        </is>
      </c>
      <c r="C2" t="inlineStr">
        <is>
          <t>Avverkning för annat ändamål</t>
        </is>
      </c>
      <c r="D2" s="1" t="n">
        <v>45624</v>
      </c>
      <c r="E2" s="1" t="n">
        <v>46223</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HYPERLINK("https://klasma.github.io/Logging_2560/kartor_geotiff/A 56243-2024 georefererad karta.tif", "A 56243-2024")</f>
        <v/>
      </c>
      <c r="Y2">
        <f>HYPERLINK("https://klasma.github.io/Logging_2560/knärot/A 56243-2024 karta knärot.png", "A 56243-2024")</f>
        <v/>
      </c>
      <c r="Z2">
        <f>HYPERLINK("https://klasma.github.io/Logging_2560/klagomål/A 56243-2024 FSC-klagomål.docx", "A 56243-2024")</f>
        <v/>
      </c>
      <c r="AA2">
        <f>HYPERLINK("https://klasma.github.io/Logging_2560/klagomålsmail/A 56243-2024 FSC-klagomål mail.docx", "A 56243-2024")</f>
        <v/>
      </c>
      <c r="AB2">
        <f>HYPERLINK("https://klasma.github.io/Logging_2560/tillsyn/A 56243-2024 tillsynsbegäran.docx", "A 56243-2024")</f>
        <v/>
      </c>
      <c r="AC2">
        <f>HYPERLINK("https://klasma.github.io/Logging_2560/tillsynsmail/A 56243-2024 tillsynsbegäran mail.docx", "A 56243-2024")</f>
        <v/>
      </c>
      <c r="AD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46223</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HYPERLINK("https://klasma.github.io/Logging_2560/kartor_geotiff/A 16092-2024 georefererad karta.tif", "A 16092-2024")</f>
        <v/>
      </c>
      <c r="Y3">
        <f>HYPERLINK("https://klasma.github.io/Logging_2560/knärot/A 16092-2024 karta knärot.png", "A 16092-2024")</f>
        <v/>
      </c>
      <c r="Z3">
        <f>HYPERLINK("https://klasma.github.io/Logging_2560/klagomål/A 16092-2024 FSC-klagomål.docx", "A 16092-2024")</f>
        <v/>
      </c>
      <c r="AA3">
        <f>HYPERLINK("https://klasma.github.io/Logging_2560/klagomålsmail/A 16092-2024 FSC-klagomål mail.docx", "A 16092-2024")</f>
        <v/>
      </c>
      <c r="AB3">
        <f>HYPERLINK("https://klasma.github.io/Logging_2560/tillsyn/A 16092-2024 tillsynsbegäran.docx", "A 16092-2024")</f>
        <v/>
      </c>
      <c r="AC3">
        <f>HYPERLINK("https://klasma.github.io/Logging_2560/tillsynsmail/A 16092-2024 tillsynsbegäran mail.docx", "A 16092-2024")</f>
        <v/>
      </c>
      <c r="AD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46223</v>
      </c>
      <c r="F4" t="inlineStr">
        <is>
          <t>NORRBOTTENS LÄN</t>
        </is>
      </c>
      <c r="G4" t="inlineStr">
        <is>
          <t>ÄLVSBYN</t>
        </is>
      </c>
      <c r="I4" t="n">
        <v>11.6</v>
      </c>
      <c r="J4" t="n">
        <v>3</v>
      </c>
      <c r="K4" t="n">
        <v>7</v>
      </c>
      <c r="L4" t="n">
        <v>14</v>
      </c>
      <c r="M4" t="n">
        <v>2</v>
      </c>
      <c r="N4" t="n">
        <v>0</v>
      </c>
      <c r="O4" t="n">
        <v>0</v>
      </c>
      <c r="P4" t="n">
        <v>0</v>
      </c>
      <c r="Q4" t="n">
        <v>16</v>
      </c>
      <c r="R4" t="n">
        <v>2</v>
      </c>
      <c r="S4" t="n">
        <v>23</v>
      </c>
      <c r="T4" t="n">
        <v>60</v>
      </c>
      <c r="U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4">
        <f>HYPERLINK("https://klasma.github.io/Logging_2560/artfynd/A 22414-2026 artfynd.xlsx", "A 22414-2026")</f>
        <v/>
      </c>
      <c r="W4">
        <f>HYPERLINK("https://klasma.github.io/Logging_2560/kartor/A 22414-2026 karta.png", "A 22414-2026")</f>
        <v/>
      </c>
      <c r="X4">
        <f>HYPERLINK("https://klasma.github.io/Logging_2560/kartor_geotiff/A 22414-2026 georefererad karta.tif", "A 22414-2026")</f>
        <v/>
      </c>
      <c r="Y4">
        <f>HYPERLINK("https://klasma.github.io/Logging_2560/knärot/A 22414-2026 karta knärot.png", "A 22414-2026")</f>
        <v/>
      </c>
      <c r="Z4">
        <f>HYPERLINK("https://klasma.github.io/Logging_2560/klagomål/A 22414-2026 FSC-klagomål.docx", "A 22414-2026")</f>
        <v/>
      </c>
      <c r="AA4">
        <f>HYPERLINK("https://klasma.github.io/Logging_2560/klagomålsmail/A 22414-2026 FSC-klagomål mail.docx", "A 22414-2026")</f>
        <v/>
      </c>
      <c r="AB4">
        <f>HYPERLINK("https://klasma.github.io/Logging_2560/tillsyn/A 22414-2026 tillsynsbegäran.docx", "A 22414-2026")</f>
        <v/>
      </c>
      <c r="AC4">
        <f>HYPERLINK("https://klasma.github.io/Logging_2560/tillsynsmail/A 22414-2026 tillsynsbegäran mail.docx", "A 22414-2026")</f>
        <v/>
      </c>
      <c r="AD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46223</v>
      </c>
      <c r="F5" t="inlineStr">
        <is>
          <t>NORRBOTTENS LÄN</t>
        </is>
      </c>
      <c r="G5" t="inlineStr">
        <is>
          <t>ÄLVSBYN</t>
        </is>
      </c>
      <c r="I5" t="n">
        <v>5.5</v>
      </c>
      <c r="J5" t="n">
        <v>6</v>
      </c>
      <c r="K5" t="n">
        <v>4</v>
      </c>
      <c r="L5" t="n">
        <v>9</v>
      </c>
      <c r="M5" t="n">
        <v>6</v>
      </c>
      <c r="N5" t="n">
        <v>0</v>
      </c>
      <c r="O5" t="n">
        <v>0</v>
      </c>
      <c r="P5" t="n">
        <v>0</v>
      </c>
      <c r="Q5" t="n">
        <v>15</v>
      </c>
      <c r="R5" t="n">
        <v>6</v>
      </c>
      <c r="S5" t="n">
        <v>22</v>
      </c>
      <c r="T5" t="n">
        <v>66</v>
      </c>
      <c r="U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5">
        <f>HYPERLINK("https://klasma.github.io/Logging_2560/artfynd/A 3573-2024 artfynd.xlsx", "A 3573-2024")</f>
        <v/>
      </c>
      <c r="W5">
        <f>HYPERLINK("https://klasma.github.io/Logging_2560/kartor/A 3573-2024 karta.png", "A 3573-2024")</f>
        <v/>
      </c>
      <c r="X5">
        <f>HYPERLINK("https://klasma.github.io/Logging_2560/kartor_geotiff/A 3573-2024 georefererad karta.tif", "A 3573-2024")</f>
        <v/>
      </c>
      <c r="Y5">
        <f>HYPERLINK("https://klasma.github.io/Logging_2560/knärot/A 3573-2024 karta knärot.png", "A 3573-2024")</f>
        <v/>
      </c>
      <c r="Z5">
        <f>HYPERLINK("https://klasma.github.io/Logging_2560/klagomål/A 3573-2024 FSC-klagomål.docx", "A 3573-2024")</f>
        <v/>
      </c>
      <c r="AA5">
        <f>HYPERLINK("https://klasma.github.io/Logging_2560/klagomålsmail/A 3573-2024 FSC-klagomål mail.docx", "A 3573-2024")</f>
        <v/>
      </c>
      <c r="AB5">
        <f>HYPERLINK("https://klasma.github.io/Logging_2560/tillsyn/A 3573-2024 tillsynsbegäran.docx", "A 3573-2024")</f>
        <v/>
      </c>
      <c r="AC5">
        <f>HYPERLINK("https://klasma.github.io/Logging_2560/tillsynsmail/A 3573-2024 tillsynsbegäran mail.docx", "A 3573-2024")</f>
        <v/>
      </c>
      <c r="AD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46223</v>
      </c>
      <c r="F6" t="inlineStr">
        <is>
          <t>NORRBOTTENS LÄN</t>
        </is>
      </c>
      <c r="G6" t="inlineStr">
        <is>
          <t>ÄLVSBYN</t>
        </is>
      </c>
      <c r="I6" t="n">
        <v>16.2</v>
      </c>
      <c r="J6" t="n">
        <v>4</v>
      </c>
      <c r="K6" t="n">
        <v>4</v>
      </c>
      <c r="L6" t="n">
        <v>11</v>
      </c>
      <c r="M6" t="n">
        <v>2</v>
      </c>
      <c r="N6" t="n">
        <v>0</v>
      </c>
      <c r="O6" t="n">
        <v>0</v>
      </c>
      <c r="P6" t="n">
        <v>0</v>
      </c>
      <c r="Q6" t="n">
        <v>13</v>
      </c>
      <c r="R6" t="n">
        <v>2</v>
      </c>
      <c r="S6" t="n">
        <v>20</v>
      </c>
      <c r="T6" t="n">
        <v>35</v>
      </c>
      <c r="U6" s="2" t="inlineStr">
        <is>
          <t>Garnlav
Gräddporing
Dropptaggsvamp
Kolflarnlav
Kungsörn
Motaggsvamp
Mörk kolflarnlav
Orange taggsvamp
Skrovlig flatbagge
Tallticka
Vedflamlav
Violettgrå tagellav
Vitplätt
Bronshjon
Luddlav
Nästlav
Stuplav
Brudsporre
Fläcknycklar
Nattviol</t>
        </is>
      </c>
      <c r="V6">
        <f>HYPERLINK("https://klasma.github.io/Logging_2560/artfynd/A 61009-2021 artfynd.xlsx", "A 61009-2021")</f>
        <v/>
      </c>
      <c r="W6">
        <f>HYPERLINK("https://klasma.github.io/Logging_2560/kartor/A 61009-2021 karta.png", "A 61009-2021")</f>
        <v/>
      </c>
      <c r="X6">
        <f>HYPERLINK("https://klasma.github.io/Logging_2560/kartor_geotiff/A 61009-2021 georefererad karta.tif", "A 61009-2021")</f>
        <v/>
      </c>
      <c r="Y6">
        <f>HYPERLINK("https://klasma.github.io/Logging_2560/knärot/A 61009-2021 karta knärot.png", "A 61009-2021")</f>
        <v/>
      </c>
      <c r="Z6">
        <f>HYPERLINK("https://klasma.github.io/Logging_2560/klagomål/A 61009-2021 FSC-klagomål.docx", "A 61009-2021")</f>
        <v/>
      </c>
      <c r="AA6">
        <f>HYPERLINK("https://klasma.github.io/Logging_2560/klagomålsmail/A 61009-2021 FSC-klagomål mail.docx", "A 61009-2021")</f>
        <v/>
      </c>
      <c r="AB6">
        <f>HYPERLINK("https://klasma.github.io/Logging_2560/tillsyn/A 61009-2021 tillsynsbegäran.docx", "A 61009-2021")</f>
        <v/>
      </c>
      <c r="AC6">
        <f>HYPERLINK("https://klasma.github.io/Logging_2560/tillsynsmail/A 61009-2021 tillsynsbegäran mail.docx", "A 61009-2021")</f>
        <v/>
      </c>
      <c r="AD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46223</v>
      </c>
      <c r="F7" t="inlineStr">
        <is>
          <t>NORRBOTTENS LÄN</t>
        </is>
      </c>
      <c r="G7" t="inlineStr">
        <is>
          <t>ÄLVSBYN</t>
        </is>
      </c>
      <c r="I7" t="n">
        <v>34.4</v>
      </c>
      <c r="J7" t="n">
        <v>4</v>
      </c>
      <c r="K7" t="n">
        <v>2</v>
      </c>
      <c r="L7" t="n">
        <v>9</v>
      </c>
      <c r="M7" t="n">
        <v>5</v>
      </c>
      <c r="N7" t="n">
        <v>0</v>
      </c>
      <c r="O7" t="n">
        <v>0</v>
      </c>
      <c r="P7" t="n">
        <v>0</v>
      </c>
      <c r="Q7" t="n">
        <v>14</v>
      </c>
      <c r="R7" t="n">
        <v>5</v>
      </c>
      <c r="S7" t="n">
        <v>17</v>
      </c>
      <c r="T7" t="n">
        <v>107</v>
      </c>
      <c r="U7" s="2" t="inlineStr">
        <is>
          <t>Doftticka
Garnlav
Knärot
Lappticka
Ostticka
Apelsinticka
Lunglav
Rosenticka
Rynkskinn
Stjärntagging
Tretåig hackspett
Ullticka
Vedtrappmossa
Äggvaxskivling
Skinnlav
Stuplav
Spillkråka</t>
        </is>
      </c>
      <c r="V7">
        <f>HYPERLINK("https://klasma.github.io/Logging_2560/artfynd/A 52981-2023 artfynd.xlsx", "A 52981-2023")</f>
        <v/>
      </c>
      <c r="W7">
        <f>HYPERLINK("https://klasma.github.io/Logging_2560/kartor/A 52981-2023 karta.png", "A 52981-2023")</f>
        <v/>
      </c>
      <c r="X7">
        <f>HYPERLINK("https://klasma.github.io/Logging_2560/kartor_geotiff/A 52981-2023 georefererad karta.tif", "A 52981-2023")</f>
        <v/>
      </c>
      <c r="Y7">
        <f>HYPERLINK("https://klasma.github.io/Logging_2560/knärot/A 52981-2023 karta knärot.png", "A 52981-2023")</f>
        <v/>
      </c>
      <c r="Z7">
        <f>HYPERLINK("https://klasma.github.io/Logging_2560/klagomål/A 52981-2023 FSC-klagomål.docx", "A 52981-2023")</f>
        <v/>
      </c>
      <c r="AA7">
        <f>HYPERLINK("https://klasma.github.io/Logging_2560/klagomålsmail/A 52981-2023 FSC-klagomål mail.docx", "A 52981-2023")</f>
        <v/>
      </c>
      <c r="AB7">
        <f>HYPERLINK("https://klasma.github.io/Logging_2560/tillsyn/A 52981-2023 tillsynsbegäran.docx", "A 52981-2023")</f>
        <v/>
      </c>
      <c r="AC7">
        <f>HYPERLINK("https://klasma.github.io/Logging_2560/tillsynsmail/A 52981-2023 tillsynsbegäran mail.docx", "A 52981-2023")</f>
        <v/>
      </c>
      <c r="AD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46223</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s="2" t="inlineStr">
        <is>
          <t>Garnlav
Knärot
Smalfotad taggsvamp
Tajgataggsvamp
Dropptaggsvamp
Kolflarnlav
Mörk kolflarnlav
Talltagel
Tretåig hackspett
Vaddporing
Nästlav
Stuplav
Järpe
Spillkråka
Kungsfågel
Fläcknycklar</t>
        </is>
      </c>
      <c r="V8">
        <f>HYPERLINK("https://klasma.github.io/Logging_2560/artfynd/A 45432-2025 artfynd.xlsx", "A 45432-2025")</f>
        <v/>
      </c>
      <c r="W8">
        <f>HYPERLINK("https://klasma.github.io/Logging_2560/kartor/A 45432-2025 karta.png", "A 45432-2025")</f>
        <v/>
      </c>
      <c r="X8">
        <f>HYPERLINK("https://klasma.github.io/Logging_2560/kartor_geotiff/A 45432-2025 georefererad karta.tif", "A 45432-2025")</f>
        <v/>
      </c>
      <c r="Y8">
        <f>HYPERLINK("https://klasma.github.io/Logging_2560/knärot/A 45432-2025 karta knärot.png", "A 45432-2025")</f>
        <v/>
      </c>
      <c r="Z8">
        <f>HYPERLINK("https://klasma.github.io/Logging_2560/klagomål/A 45432-2025 FSC-klagomål.docx", "A 45432-2025")</f>
        <v/>
      </c>
      <c r="AA8">
        <f>HYPERLINK("https://klasma.github.io/Logging_2560/klagomålsmail/A 45432-2025 FSC-klagomål mail.docx", "A 45432-2025")</f>
        <v/>
      </c>
      <c r="AB8">
        <f>HYPERLINK("https://klasma.github.io/Logging_2560/tillsyn/A 45432-2025 tillsynsbegäran.docx", "A 45432-2025")</f>
        <v/>
      </c>
      <c r="AC8">
        <f>HYPERLINK("https://klasma.github.io/Logging_2560/tillsynsmail/A 45432-2025 tillsynsbegäran mail.docx", "A 45432-2025")</f>
        <v/>
      </c>
      <c r="AD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46223</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s="2" t="inlineStr">
        <is>
          <t>Garnlav
Knärot
Gammelgransskål
Knottrig blåslav
Lavskrika
Lunglav
Nordtagging
Rosenticka
Vedskivlav
Äggvaxskivling
Bollvitmossa
Bårdlav
Plattlummer
Stuplav
Vedticka
Revlummer</t>
        </is>
      </c>
      <c r="V9">
        <f>HYPERLINK("https://klasma.github.io/Logging_2560/artfynd/A 7068-2023 artfynd.xlsx", "A 7068-2023")</f>
        <v/>
      </c>
      <c r="W9">
        <f>HYPERLINK("https://klasma.github.io/Logging_2560/kartor/A 7068-2023 karta.png", "A 7068-2023")</f>
        <v/>
      </c>
      <c r="X9">
        <f>HYPERLINK("https://klasma.github.io/Logging_2560/kartor_geotiff/A 7068-2023 georefererad karta.tif", "A 7068-2023")</f>
        <v/>
      </c>
      <c r="Y9">
        <f>HYPERLINK("https://klasma.github.io/Logging_2560/knärot/A 7068-2023 karta knärot.png", "A 7068-2023")</f>
        <v/>
      </c>
      <c r="Z9">
        <f>HYPERLINK("https://klasma.github.io/Logging_2560/klagomål/A 7068-2023 FSC-klagomål.docx", "A 7068-2023")</f>
        <v/>
      </c>
      <c r="AA9">
        <f>HYPERLINK("https://klasma.github.io/Logging_2560/klagomålsmail/A 7068-2023 FSC-klagomål mail.docx", "A 7068-2023")</f>
        <v/>
      </c>
      <c r="AB9">
        <f>HYPERLINK("https://klasma.github.io/Logging_2560/tillsyn/A 7068-2023 tillsynsbegäran.docx", "A 7068-2023")</f>
        <v/>
      </c>
      <c r="AC9">
        <f>HYPERLINK("https://klasma.github.io/Logging_2560/tillsynsmail/A 7068-2023 tillsynsbegäran mail.docx", "A 7068-2023")</f>
        <v/>
      </c>
      <c r="AD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46223</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s="2" t="inlineStr">
        <is>
          <t>Garnlav
Blanksvart spiklav
Brunpudrad nållav
Gammelgransskål
Knottrig blåslav
Lavskrika
Tallfingersvamp
Tallticka
Vedskivlav
Violmussling
Bollvitmossa
Källpraktmossa
Vedticka
Järpe
Spillkråka</t>
        </is>
      </c>
      <c r="V10">
        <f>HYPERLINK("https://klasma.github.io/Logging_2560/artfynd/A 18646-2024 artfynd.xlsx", "A 18646-2024")</f>
        <v/>
      </c>
      <c r="W10">
        <f>HYPERLINK("https://klasma.github.io/Logging_2560/kartor/A 18646-2024 karta.png", "A 18646-2024")</f>
        <v/>
      </c>
      <c r="X10">
        <f>HYPERLINK("https://klasma.github.io/Logging_2560/kartor_geotiff/A 18646-2024 georefererad karta.tif", "A 18646-2024")</f>
        <v/>
      </c>
      <c r="Z10">
        <f>HYPERLINK("https://klasma.github.io/Logging_2560/klagomål/A 18646-2024 FSC-klagomål.docx", "A 18646-2024")</f>
        <v/>
      </c>
      <c r="AA10">
        <f>HYPERLINK("https://klasma.github.io/Logging_2560/klagomålsmail/A 18646-2024 FSC-klagomål mail.docx", "A 18646-2024")</f>
        <v/>
      </c>
      <c r="AB10">
        <f>HYPERLINK("https://klasma.github.io/Logging_2560/tillsyn/A 18646-2024 tillsynsbegäran.docx", "A 18646-2024")</f>
        <v/>
      </c>
      <c r="AC10">
        <f>HYPERLINK("https://klasma.github.io/Logging_2560/tillsynsmail/A 18646-2024 tillsynsbegäran mail.docx", "A 18646-2024")</f>
        <v/>
      </c>
      <c r="AD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46223</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s="2" t="inlineStr">
        <is>
          <t>Garnlav
Knärot
Dropptaggsvamp
Lavskrika
Lunglav
Vaddporing
Vedskivlav
Bårdlav
Luddlav
Mörk husmossa
Stor aspticka
Stuplav
Järpe
Vanlig groda
Revlummer</t>
        </is>
      </c>
      <c r="V11">
        <f>HYPERLINK("https://klasma.github.io/Logging_2560/artfynd/A 40118-2025 artfynd.xlsx", "A 40118-2025")</f>
        <v/>
      </c>
      <c r="W11">
        <f>HYPERLINK("https://klasma.github.io/Logging_2560/kartor/A 40118-2025 karta.png", "A 40118-2025")</f>
        <v/>
      </c>
      <c r="X11">
        <f>HYPERLINK("https://klasma.github.io/Logging_2560/kartor_geotiff/A 40118-2025 georefererad karta.tif", "A 40118-2025")</f>
        <v/>
      </c>
      <c r="Y11">
        <f>HYPERLINK("https://klasma.github.io/Logging_2560/knärot/A 40118-2025 karta knärot.png", "A 40118-2025")</f>
        <v/>
      </c>
      <c r="Z11">
        <f>HYPERLINK("https://klasma.github.io/Logging_2560/klagomål/A 40118-2025 FSC-klagomål.docx", "A 40118-2025")</f>
        <v/>
      </c>
      <c r="AA11">
        <f>HYPERLINK("https://klasma.github.io/Logging_2560/klagomålsmail/A 40118-2025 FSC-klagomål mail.docx", "A 40118-2025")</f>
        <v/>
      </c>
      <c r="AB11">
        <f>HYPERLINK("https://klasma.github.io/Logging_2560/tillsyn/A 40118-2025 tillsynsbegäran.docx", "A 40118-2025")</f>
        <v/>
      </c>
      <c r="AC11">
        <f>HYPERLINK("https://klasma.github.io/Logging_2560/tillsynsmail/A 40118-2025 tillsynsbegäran mail.docx", "A 40118-2025")</f>
        <v/>
      </c>
      <c r="AD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46223</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s="2" t="inlineStr">
        <is>
          <t>Garnlav
Grenlav
Blå taggsvamp
Dropptaggsvamp
Kolflarnlav
Lavskrika
Motaggsvamp
Mörk kolflarnlav
Orange taggsvamp
Skarp dropptaggsvamp
Tretåig hackspett
Vedskivlav
Nästlav
Tofsmes</t>
        </is>
      </c>
      <c r="V12">
        <f>HYPERLINK("https://klasma.github.io/Logging_2560/artfynd/A 51047-2025 artfynd.xlsx", "A 51047-2025")</f>
        <v/>
      </c>
      <c r="W12">
        <f>HYPERLINK("https://klasma.github.io/Logging_2560/kartor/A 51047-2025 karta.png", "A 51047-2025")</f>
        <v/>
      </c>
      <c r="X12">
        <f>HYPERLINK("https://klasma.github.io/Logging_2560/kartor_geotiff/A 51047-2025 georefererad karta.tif", "A 51047-2025")</f>
        <v/>
      </c>
      <c r="Z12">
        <f>HYPERLINK("https://klasma.github.io/Logging_2560/klagomål/A 51047-2025 FSC-klagomål.docx", "A 51047-2025")</f>
        <v/>
      </c>
      <c r="AA12">
        <f>HYPERLINK("https://klasma.github.io/Logging_2560/klagomålsmail/A 51047-2025 FSC-klagomål mail.docx", "A 51047-2025")</f>
        <v/>
      </c>
      <c r="AB12">
        <f>HYPERLINK("https://klasma.github.io/Logging_2560/tillsyn/A 51047-2025 tillsynsbegäran.docx", "A 51047-2025")</f>
        <v/>
      </c>
      <c r="AC12">
        <f>HYPERLINK("https://klasma.github.io/Logging_2560/tillsynsmail/A 51047-2025 tillsynsbegäran mail.docx", "A 51047-2025")</f>
        <v/>
      </c>
      <c r="AD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46223</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s="2" t="inlineStr">
        <is>
          <t>Rotfingersvamp
Skrovlig taggsvamp
Smalfotad taggsvamp
Tajgataggsvamp
Blå taggsvamp
Dropptaggsvamp
Kolflarnlav
Motaggsvamp
Orange taggsvamp
Skarp dropptaggsvamp
Vaddporing
Tjäder</t>
        </is>
      </c>
      <c r="V13">
        <f>HYPERLINK("https://klasma.github.io/Logging_2560/artfynd/A 26733-2024 artfynd.xlsx", "A 26733-2024")</f>
        <v/>
      </c>
      <c r="W13">
        <f>HYPERLINK("https://klasma.github.io/Logging_2560/kartor/A 26733-2024 karta.png", "A 26733-2024")</f>
        <v/>
      </c>
      <c r="X13">
        <f>HYPERLINK("https://klasma.github.io/Logging_2560/kartor_geotiff/A 26733-2024 georefererad karta.tif", "A 26733-2024")</f>
        <v/>
      </c>
      <c r="Z13">
        <f>HYPERLINK("https://klasma.github.io/Logging_2560/klagomål/A 26733-2024 FSC-klagomål.docx", "A 26733-2024")</f>
        <v/>
      </c>
      <c r="AA13">
        <f>HYPERLINK("https://klasma.github.io/Logging_2560/klagomålsmail/A 26733-2024 FSC-klagomål mail.docx", "A 26733-2024")</f>
        <v/>
      </c>
      <c r="AB13">
        <f>HYPERLINK("https://klasma.github.io/Logging_2560/tillsyn/A 26733-2024 tillsynsbegäran.docx", "A 26733-2024")</f>
        <v/>
      </c>
      <c r="AC13">
        <f>HYPERLINK("https://klasma.github.io/Logging_2560/tillsynsmail/A 26733-2024 tillsynsbegäran mail.docx", "A 26733-2024")</f>
        <v/>
      </c>
      <c r="AD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46223</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s="2" t="inlineStr">
        <is>
          <t>Goliatmusseron
Skrovlig taggsvamp
Smalfotad taggsvamp
Tajgataggsvamp
Blå taggsvamp
Dropptaggsvamp
Kolflarnlav
Orange taggsvamp
Skarp dropptaggsvamp
Svartvit taggsvamp
Tallriska
Talltaggsvamp</t>
        </is>
      </c>
      <c r="V14">
        <f>HYPERLINK("https://klasma.github.io/Logging_2560/artfynd/A 22563-2025 artfynd.xlsx", "A 22563-2025")</f>
        <v/>
      </c>
      <c r="W14">
        <f>HYPERLINK("https://klasma.github.io/Logging_2560/kartor/A 22563-2025 karta.png", "A 22563-2025")</f>
        <v/>
      </c>
      <c r="X14">
        <f>HYPERLINK("https://klasma.github.io/Logging_2560/kartor_geotiff/A 22563-2025 georefererad karta.tif", "A 22563-2025")</f>
        <v/>
      </c>
      <c r="Z14">
        <f>HYPERLINK("https://klasma.github.io/Logging_2560/klagomål/A 22563-2025 FSC-klagomål.docx", "A 22563-2025")</f>
        <v/>
      </c>
      <c r="AA14">
        <f>HYPERLINK("https://klasma.github.io/Logging_2560/klagomålsmail/A 22563-2025 FSC-klagomål mail.docx", "A 22563-2025")</f>
        <v/>
      </c>
      <c r="AB14">
        <f>HYPERLINK("https://klasma.github.io/Logging_2560/tillsyn/A 22563-2025 tillsynsbegäran.docx", "A 22563-2025")</f>
        <v/>
      </c>
      <c r="AC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46223</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s="2" t="inlineStr">
        <is>
          <t>Garnlav
Knärot
Gammelgransskål
Harticka
Knottrig blåslav
Vitgrynig nållav
Källpraktmossa
Spillkråka
Tjäder
Fjällvråk
Kungsfågel</t>
        </is>
      </c>
      <c r="V15">
        <f>HYPERLINK("https://klasma.github.io/Logging_2560/artfynd/A 40107-2024 artfynd.xlsx", "A 40107-2024")</f>
        <v/>
      </c>
      <c r="W15">
        <f>HYPERLINK("https://klasma.github.io/Logging_2560/kartor/A 40107-2024 karta.png", "A 40107-2024")</f>
        <v/>
      </c>
      <c r="X15">
        <f>HYPERLINK("https://klasma.github.io/Logging_2560/kartor_geotiff/A 40107-2024 georefererad karta.tif", "A 40107-2024")</f>
        <v/>
      </c>
      <c r="Y15">
        <f>HYPERLINK("https://klasma.github.io/Logging_2560/knärot/A 40107-2024 karta knärot.png", "A 40107-2024")</f>
        <v/>
      </c>
      <c r="Z15">
        <f>HYPERLINK("https://klasma.github.io/Logging_2560/klagomål/A 40107-2024 FSC-klagomål.docx", "A 40107-2024")</f>
        <v/>
      </c>
      <c r="AA15">
        <f>HYPERLINK("https://klasma.github.io/Logging_2560/klagomålsmail/A 40107-2024 FSC-klagomål mail.docx", "A 40107-2024")</f>
        <v/>
      </c>
      <c r="AB15">
        <f>HYPERLINK("https://klasma.github.io/Logging_2560/tillsyn/A 40107-2024 tillsynsbegäran.docx", "A 40107-2024")</f>
        <v/>
      </c>
      <c r="AC15">
        <f>HYPERLINK("https://klasma.github.io/Logging_2560/tillsynsmail/A 40107-2024 tillsynsbegäran mail.docx", "A 40107-2024")</f>
        <v/>
      </c>
      <c r="AD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46223</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s="2" t="inlineStr">
        <is>
          <t>Garnlav
Knärot
Lammticka
Gammelgransskål
Motaggsvamp
Svartvit taggsvamp
Vaddporing
Vedticka
Järpe
Revlummer</t>
        </is>
      </c>
      <c r="V16">
        <f>HYPERLINK("https://klasma.github.io/Logging_2560/artfynd/A 49930-2025 artfynd.xlsx", "A 49930-2025")</f>
        <v/>
      </c>
      <c r="W16">
        <f>HYPERLINK("https://klasma.github.io/Logging_2560/kartor/A 49930-2025 karta.png", "A 49930-2025")</f>
        <v/>
      </c>
      <c r="X16">
        <f>HYPERLINK("https://klasma.github.io/Logging_2560/kartor_geotiff/A 49930-2025 georefererad karta.tif", "A 49930-2025")</f>
        <v/>
      </c>
      <c r="Y16">
        <f>HYPERLINK("https://klasma.github.io/Logging_2560/knärot/A 49930-2025 karta knärot.png", "A 49930-2025")</f>
        <v/>
      </c>
      <c r="Z16">
        <f>HYPERLINK("https://klasma.github.io/Logging_2560/klagomål/A 49930-2025 FSC-klagomål.docx", "A 49930-2025")</f>
        <v/>
      </c>
      <c r="AA16">
        <f>HYPERLINK("https://klasma.github.io/Logging_2560/klagomålsmail/A 49930-2025 FSC-klagomål mail.docx", "A 49930-2025")</f>
        <v/>
      </c>
      <c r="AB16">
        <f>HYPERLINK("https://klasma.github.io/Logging_2560/tillsyn/A 49930-2025 tillsynsbegäran.docx", "A 49930-2025")</f>
        <v/>
      </c>
      <c r="AC16">
        <f>HYPERLINK("https://klasma.github.io/Logging_2560/tillsynsmail/A 49930-2025 tillsynsbegäran mail.docx", "A 49930-2025")</f>
        <v/>
      </c>
      <c r="AD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46223</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s="2" t="inlineStr">
        <is>
          <t>Garnlav
Knärot
Gammelgransskål
Knottrig blåslav
Lunglav
Bollvitmossa
Källpraktmossa
Trana
Vanlig padda</t>
        </is>
      </c>
      <c r="V17">
        <f>HYPERLINK("https://klasma.github.io/Logging_2560/artfynd/S 1092-2023 artfynd.xlsx", "S 1092-2023")</f>
        <v/>
      </c>
      <c r="W17">
        <f>HYPERLINK("https://klasma.github.io/Logging_2560/kartor/S 1092-2023 karta.png", "S 1092-2023")</f>
        <v/>
      </c>
      <c r="X17">
        <f>HYPERLINK("https://klasma.github.io/Logging_2560/kartor_geotiff/S 1092-2023 georefererad karta.tif", "S 1092-2023")</f>
        <v/>
      </c>
      <c r="Y17">
        <f>HYPERLINK("https://klasma.github.io/Logging_2560/knärot/S 1092-2023 karta knärot.png", "S 1092-2023")</f>
        <v/>
      </c>
      <c r="Z17">
        <f>HYPERLINK("https://klasma.github.io/Logging_2560/klagomål/S 1092-2023 FSC-klagomål.docx", "S 1092-2023")</f>
        <v/>
      </c>
      <c r="AA17">
        <f>HYPERLINK("https://klasma.github.io/Logging_2560/klagomålsmail/S 1092-2023 FSC-klagomål mail.docx", "S 1092-2023")</f>
        <v/>
      </c>
      <c r="AB17">
        <f>HYPERLINK("https://klasma.github.io/Logging_2560/tillsyn/S 1092-2023 tillsynsbegäran.docx", "S 1092-2023")</f>
        <v/>
      </c>
      <c r="AC17">
        <f>HYPERLINK("https://klasma.github.io/Logging_2560/tillsynsmail/S 1092-2023 tillsynsbegäran mail.docx", "S 1092-2023")</f>
        <v/>
      </c>
      <c r="AD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46223</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s="2" t="inlineStr">
        <is>
          <t>Garnlav
Kolflarnlav
Lunglav
Vedskivlav
Bårdlav
Plattlummer
Skinnlav
Stuplav</t>
        </is>
      </c>
      <c r="V18">
        <f>HYPERLINK("https://klasma.github.io/Logging_2560/artfynd/A 49843-2021 artfynd.xlsx", "A 49843-2021")</f>
        <v/>
      </c>
      <c r="W18">
        <f>HYPERLINK("https://klasma.github.io/Logging_2560/kartor/A 49843-2021 karta.png", "A 49843-2021")</f>
        <v/>
      </c>
      <c r="X18">
        <f>HYPERLINK("https://klasma.github.io/Logging_2560/kartor_geotiff/A 49843-2021 georefererad karta.tif", "A 49843-2021")</f>
        <v/>
      </c>
      <c r="Z18">
        <f>HYPERLINK("https://klasma.github.io/Logging_2560/klagomål/A 49843-2021 FSC-klagomål.docx", "A 49843-2021")</f>
        <v/>
      </c>
      <c r="AA18">
        <f>HYPERLINK("https://klasma.github.io/Logging_2560/klagomålsmail/A 49843-2021 FSC-klagomål mail.docx", "A 49843-2021")</f>
        <v/>
      </c>
      <c r="AB18">
        <f>HYPERLINK("https://klasma.github.io/Logging_2560/tillsyn/A 49843-2021 tillsynsbegäran.docx", "A 49843-2021")</f>
        <v/>
      </c>
      <c r="AC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46223</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s="2" t="inlineStr">
        <is>
          <t>Garnlav
Dropptaggsvamp
Kolflarnlav
Lunglav
Orange taggsvamp
Tallticka
Plattlummer
Stuplav</t>
        </is>
      </c>
      <c r="V19">
        <f>HYPERLINK("https://klasma.github.io/Logging_2560/artfynd/A 25676-2026 artfynd.xlsx", "A 25676-2026")</f>
        <v/>
      </c>
      <c r="W19">
        <f>HYPERLINK("https://klasma.github.io/Logging_2560/kartor/A 25676-2026 karta.png", "A 25676-2026")</f>
        <v/>
      </c>
      <c r="X19">
        <f>HYPERLINK("https://klasma.github.io/Logging_2560/kartor_geotiff/A 25676-2026 georefererad karta.tif", "A 25676-2026")</f>
        <v/>
      </c>
      <c r="Z19">
        <f>HYPERLINK("https://klasma.github.io/Logging_2560/klagomål/A 25676-2026 FSC-klagomål.docx", "A 25676-2026")</f>
        <v/>
      </c>
      <c r="AA19">
        <f>HYPERLINK("https://klasma.github.io/Logging_2560/klagomålsmail/A 25676-2026 FSC-klagomål mail.docx", "A 25676-2026")</f>
        <v/>
      </c>
      <c r="AB19">
        <f>HYPERLINK("https://klasma.github.io/Logging_2560/tillsyn/A 25676-2026 tillsynsbegäran.docx", "A 25676-2026")</f>
        <v/>
      </c>
      <c r="AC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46223</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s="2" t="inlineStr">
        <is>
          <t>Garnlav
Gammelgransskål
Talltagel
Björksplintborre
Nästlav
Robust tickgnagare
Skinnlav</t>
        </is>
      </c>
      <c r="V20">
        <f>HYPERLINK("https://klasma.github.io/Logging_2560/artfynd/A 26579-2022 artfynd.xlsx", "A 26579-2022")</f>
        <v/>
      </c>
      <c r="W20">
        <f>HYPERLINK("https://klasma.github.io/Logging_2560/kartor/A 26579-2022 karta.png", "A 26579-2022")</f>
        <v/>
      </c>
      <c r="X20">
        <f>HYPERLINK("https://klasma.github.io/Logging_2560/kartor_geotiff/A 26579-2022 georefererad karta.tif", "A 26579-2022")</f>
        <v/>
      </c>
      <c r="Z20">
        <f>HYPERLINK("https://klasma.github.io/Logging_2560/klagomål/A 26579-2022 FSC-klagomål.docx", "A 26579-2022")</f>
        <v/>
      </c>
      <c r="AA20">
        <f>HYPERLINK("https://klasma.github.io/Logging_2560/klagomålsmail/A 26579-2022 FSC-klagomål mail.docx", "A 26579-2022")</f>
        <v/>
      </c>
      <c r="AB20">
        <f>HYPERLINK("https://klasma.github.io/Logging_2560/tillsyn/A 26579-2022 tillsynsbegäran.docx", "A 26579-2022")</f>
        <v/>
      </c>
      <c r="AC20">
        <f>HYPERLINK("https://klasma.github.io/Logging_2560/tillsynsmail/A 26579-2022 tillsynsbegäran mail.docx", "A 26579-2022")</f>
        <v/>
      </c>
    </row>
    <row r="21" ht="15" customHeight="1">
      <c r="A21" t="inlineStr">
        <is>
          <t>A 26731-2024</t>
        </is>
      </c>
      <c r="B21" t="inlineStr">
        <is>
          <t>avverkningsanmälan</t>
        </is>
      </c>
      <c r="C21" t="inlineStr">
        <is>
          <t>Föryngringsavverkning</t>
        </is>
      </c>
      <c r="D21" s="1" t="n">
        <v>45470</v>
      </c>
      <c r="E21" s="1" t="n">
        <v>46223</v>
      </c>
      <c r="F21" t="inlineStr">
        <is>
          <t>NORRBOTTENS LÄN</t>
        </is>
      </c>
      <c r="G21" t="inlineStr">
        <is>
          <t>ÄLVSBYN</t>
        </is>
      </c>
      <c r="H21" t="inlineStr">
        <is>
          <t>Sveaskog</t>
        </is>
      </c>
      <c r="I21" t="n">
        <v>1.4</v>
      </c>
      <c r="J21" t="n">
        <v>0</v>
      </c>
      <c r="K21" t="n">
        <v>0</v>
      </c>
      <c r="L21" t="n">
        <v>5</v>
      </c>
      <c r="M21" t="n">
        <v>2</v>
      </c>
      <c r="N21" t="n">
        <v>0</v>
      </c>
      <c r="O21" t="n">
        <v>0</v>
      </c>
      <c r="P21" t="n">
        <v>0</v>
      </c>
      <c r="Q21" t="n">
        <v>7</v>
      </c>
      <c r="R21" t="n">
        <v>2</v>
      </c>
      <c r="S21" t="n">
        <v>7</v>
      </c>
      <c r="T21" t="n">
        <v>7</v>
      </c>
      <c r="U21" s="2" t="inlineStr">
        <is>
          <t>Lakritsmusseron
Tajgataggsvamp
Dropptaggsvamp
Orange taggsvamp
Skarp dropptaggsvamp
Svartvit taggsvamp
Tallriska</t>
        </is>
      </c>
      <c r="V21">
        <f>HYPERLINK("https://klasma.github.io/Logging_2560/artfynd/A 26731-2024 artfynd.xlsx", "A 26731-2024")</f>
        <v/>
      </c>
      <c r="W21">
        <f>HYPERLINK("https://klasma.github.io/Logging_2560/kartor/A 26731-2024 karta.png", "A 26731-2024")</f>
        <v/>
      </c>
      <c r="X21">
        <f>HYPERLINK("https://klasma.github.io/Logging_2560/kartor_geotiff/A 26731-2024 georefererad karta.tif", "A 26731-2024")</f>
        <v/>
      </c>
      <c r="Z21">
        <f>HYPERLINK("https://klasma.github.io/Logging_2560/klagomål/A 26731-2024 FSC-klagomål.docx", "A 26731-2024")</f>
        <v/>
      </c>
      <c r="AA21">
        <f>HYPERLINK("https://klasma.github.io/Logging_2560/klagomålsmail/A 26731-2024 FSC-klagomål mail.docx", "A 26731-2024")</f>
        <v/>
      </c>
      <c r="AB21">
        <f>HYPERLINK("https://klasma.github.io/Logging_2560/tillsyn/A 26731-2024 tillsynsbegäran.docx", "A 26731-2024")</f>
        <v/>
      </c>
      <c r="AC21">
        <f>HYPERLINK("https://klasma.github.io/Logging_2560/tillsynsmail/A 26731-2024 tillsynsbegäran mail.docx", "A 26731-2024")</f>
        <v/>
      </c>
    </row>
    <row r="22" ht="15" customHeight="1">
      <c r="A22" t="inlineStr">
        <is>
          <t>A 20466-2025</t>
        </is>
      </c>
      <c r="B22" t="inlineStr">
        <is>
          <t>avverkningsanmälan</t>
        </is>
      </c>
      <c r="C22" t="inlineStr">
        <is>
          <t>Föryngringsavverkning</t>
        </is>
      </c>
      <c r="D22" s="1" t="n">
        <v>45775</v>
      </c>
      <c r="E22" s="1" t="n">
        <v>46223</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s="2" t="inlineStr">
        <is>
          <t>Dvärgbägarlav
Kolflarnlav
Kortskaftad ärgspik
Lavskrika
Vedskivlav
Violettgrå tagellav
Plattlummer</t>
        </is>
      </c>
      <c r="V22">
        <f>HYPERLINK("https://klasma.github.io/Logging_2560/artfynd/A 20466-2025 artfynd.xlsx", "A 20466-2025")</f>
        <v/>
      </c>
      <c r="W22">
        <f>HYPERLINK("https://klasma.github.io/Logging_2560/kartor/A 20466-2025 karta.png", "A 20466-2025")</f>
        <v/>
      </c>
      <c r="X22">
        <f>HYPERLINK("https://klasma.github.io/Logging_2560/kartor_geotiff/A 20466-2025 georefererad karta.tif", "A 20466-2025")</f>
        <v/>
      </c>
      <c r="Z22">
        <f>HYPERLINK("https://klasma.github.io/Logging_2560/klagomål/A 20466-2025 FSC-klagomål.docx", "A 20466-2025")</f>
        <v/>
      </c>
      <c r="AA22">
        <f>HYPERLINK("https://klasma.github.io/Logging_2560/klagomålsmail/A 20466-2025 FSC-klagomål mail.docx", "A 20466-2025")</f>
        <v/>
      </c>
      <c r="AB22">
        <f>HYPERLINK("https://klasma.github.io/Logging_2560/tillsyn/A 20466-2025 tillsynsbegäran.docx", "A 20466-2025")</f>
        <v/>
      </c>
      <c r="AC22">
        <f>HYPERLINK("https://klasma.github.io/Logging_2560/tillsynsmail/A 20466-2025 tillsynsbegäran mail.docx", "A 20466-2025")</f>
        <v/>
      </c>
      <c r="AD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46223</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s="2" t="inlineStr">
        <is>
          <t>Garnlav
Rödvingetrast
Talltita
Lappranunkel
Ögonpyrola
Fläcknycklar
Revlummer</t>
        </is>
      </c>
      <c r="V23">
        <f>HYPERLINK("https://klasma.github.io/Logging_2560/artfynd/A 11477-2022 artfynd.xlsx", "A 11477-2022")</f>
        <v/>
      </c>
      <c r="W23">
        <f>HYPERLINK("https://klasma.github.io/Logging_2560/kartor/A 11477-2022 karta.png", "A 11477-2022")</f>
        <v/>
      </c>
      <c r="X23">
        <f>HYPERLINK("https://klasma.github.io/Logging_2560/kartor_geotiff/A 11477-2022 georefererad karta.tif", "A 11477-2022")</f>
        <v/>
      </c>
      <c r="Z23">
        <f>HYPERLINK("https://klasma.github.io/Logging_2560/klagomål/A 11477-2022 FSC-klagomål.docx", "A 11477-2022")</f>
        <v/>
      </c>
      <c r="AA23">
        <f>HYPERLINK("https://klasma.github.io/Logging_2560/klagomålsmail/A 11477-2022 FSC-klagomål mail.docx", "A 11477-2022")</f>
        <v/>
      </c>
      <c r="AB23">
        <f>HYPERLINK("https://klasma.github.io/Logging_2560/tillsyn/A 11477-2022 tillsynsbegäran.docx", "A 11477-2022")</f>
        <v/>
      </c>
      <c r="AC23">
        <f>HYPERLINK("https://klasma.github.io/Logging_2560/tillsynsmail/A 11477-2022 tillsynsbegäran mail.docx", "A 11477-2022")</f>
        <v/>
      </c>
      <c r="AD23">
        <f>HYPERLINK("https://klasma.github.io/Logging_2560/fåglar/A 11477-2022 prioriterade fågelarter.docx", "A 11477-2022")</f>
        <v/>
      </c>
    </row>
    <row r="24" ht="15" customHeight="1">
      <c r="A24" t="inlineStr">
        <is>
          <t>A 24615-2026</t>
        </is>
      </c>
      <c r="B24" t="inlineStr">
        <is>
          <t>avverkningsanmälan</t>
        </is>
      </c>
      <c r="C24" t="inlineStr">
        <is>
          <t>Föryngringsavverkning</t>
        </is>
      </c>
      <c r="D24" s="1" t="n">
        <v>46171</v>
      </c>
      <c r="E24" s="1" t="n">
        <v>46223</v>
      </c>
      <c r="F24" t="inlineStr">
        <is>
          <t>NORRBOTTENS LÄN</t>
        </is>
      </c>
      <c r="G24" t="inlineStr">
        <is>
          <t>ÄLVSBYN</t>
        </is>
      </c>
      <c r="H24" t="inlineStr">
        <is>
          <t>SCA</t>
        </is>
      </c>
      <c r="I24" t="n">
        <v>14.9</v>
      </c>
      <c r="J24" t="n">
        <v>2</v>
      </c>
      <c r="K24" t="n">
        <v>4</v>
      </c>
      <c r="L24" t="n">
        <v>1</v>
      </c>
      <c r="M24" t="n">
        <v>1</v>
      </c>
      <c r="N24" t="n">
        <v>0</v>
      </c>
      <c r="O24" t="n">
        <v>0</v>
      </c>
      <c r="P24" t="n">
        <v>0</v>
      </c>
      <c r="Q24" t="n">
        <v>2</v>
      </c>
      <c r="R24" t="n">
        <v>1</v>
      </c>
      <c r="S24" t="n">
        <v>7</v>
      </c>
      <c r="T24" t="n">
        <v>13</v>
      </c>
      <c r="U24" s="2" t="inlineStr">
        <is>
          <t>Garnlav
Lunglav
Bårdlav
Spindelblomster
Stuplav
Ögonpyrola
Revlummer</t>
        </is>
      </c>
      <c r="V24">
        <f>HYPERLINK("https://klasma.github.io/Logging_2560/artfynd/A 24615-2026 artfynd.xlsx", "A 24615-2026")</f>
        <v/>
      </c>
      <c r="W24">
        <f>HYPERLINK("https://klasma.github.io/Logging_2560/kartor/A 24615-2026 karta.png", "A 24615-2026")</f>
        <v/>
      </c>
      <c r="X24">
        <f>HYPERLINK("https://klasma.github.io/Logging_2560/kartor_geotiff/A 24615-2026 georefererad karta.tif", "A 24615-2026")</f>
        <v/>
      </c>
      <c r="Z24">
        <f>HYPERLINK("https://klasma.github.io/Logging_2560/klagomål/A 24615-2026 FSC-klagomål.docx", "A 24615-2026")</f>
        <v/>
      </c>
      <c r="AA24">
        <f>HYPERLINK("https://klasma.github.io/Logging_2560/klagomålsmail/A 24615-2026 FSC-klagomål mail.docx", "A 24615-2026")</f>
        <v/>
      </c>
      <c r="AB24">
        <f>HYPERLINK("https://klasma.github.io/Logging_2560/tillsyn/A 24615-2026 tillsynsbegäran.docx", "A 24615-2026")</f>
        <v/>
      </c>
      <c r="AC24">
        <f>HYPERLINK("https://klasma.github.io/Logging_2560/tillsynsmail/A 24615-2026 tillsynsbegäran mail.docx", "A 24615-2026")</f>
        <v/>
      </c>
    </row>
    <row r="25" ht="15" customHeight="1">
      <c r="A25" t="inlineStr">
        <is>
          <t>A 50352-2025</t>
        </is>
      </c>
      <c r="B25" t="inlineStr">
        <is>
          <t>avverkningsanmälan</t>
        </is>
      </c>
      <c r="C25" t="inlineStr">
        <is>
          <t>Föryngringsavverkning</t>
        </is>
      </c>
      <c r="D25" s="1" t="n">
        <v>45944</v>
      </c>
      <c r="E25" s="1" t="n">
        <v>46223</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s="2" t="inlineStr">
        <is>
          <t>Garnlav
Kolflarnlav
Lunglav
Skarp dropptaggsvamp
Vedflamlav
Stuplav</t>
        </is>
      </c>
      <c r="V25">
        <f>HYPERLINK("https://klasma.github.io/Logging_2560/artfynd/A 50352-2025 artfynd.xlsx", "A 50352-2025")</f>
        <v/>
      </c>
      <c r="W25">
        <f>HYPERLINK("https://klasma.github.io/Logging_2560/kartor/A 50352-2025 karta.png", "A 50352-2025")</f>
        <v/>
      </c>
      <c r="X25">
        <f>HYPERLINK("https://klasma.github.io/Logging_2560/kartor_geotiff/A 50352-2025 georefererad karta.tif", "A 50352-2025")</f>
        <v/>
      </c>
      <c r="Z25">
        <f>HYPERLINK("https://klasma.github.io/Logging_2560/klagomål/A 50352-2025 FSC-klagomål.docx", "A 50352-2025")</f>
        <v/>
      </c>
      <c r="AA25">
        <f>HYPERLINK("https://klasma.github.io/Logging_2560/klagomålsmail/A 50352-2025 FSC-klagomål mail.docx", "A 50352-2025")</f>
        <v/>
      </c>
      <c r="AB25">
        <f>HYPERLINK("https://klasma.github.io/Logging_2560/tillsyn/A 50352-2025 tillsynsbegäran.docx", "A 50352-2025")</f>
        <v/>
      </c>
      <c r="AC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46223</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s="2" t="inlineStr">
        <is>
          <t>Garnlav
Gräddporing
Månlåsbräken
Mörk kolflarnlav
Tallticka
Ängskovall</t>
        </is>
      </c>
      <c r="V26">
        <f>HYPERLINK("https://klasma.github.io/Logging_2560/artfynd/A 52177-2021 artfynd.xlsx", "A 52177-2021")</f>
        <v/>
      </c>
      <c r="W26">
        <f>HYPERLINK("https://klasma.github.io/Logging_2560/kartor/A 52177-2021 karta.png", "A 52177-2021")</f>
        <v/>
      </c>
      <c r="X26">
        <f>HYPERLINK("https://klasma.github.io/Logging_2560/kartor_geotiff/A 52177-2021 georefererad karta.tif", "A 52177-2021")</f>
        <v/>
      </c>
      <c r="Z26">
        <f>HYPERLINK("https://klasma.github.io/Logging_2560/klagomål/A 52177-2021 FSC-klagomål.docx", "A 52177-2021")</f>
        <v/>
      </c>
      <c r="AA26">
        <f>HYPERLINK("https://klasma.github.io/Logging_2560/klagomålsmail/A 52177-2021 FSC-klagomål mail.docx", "A 52177-2021")</f>
        <v/>
      </c>
      <c r="AB26">
        <f>HYPERLINK("https://klasma.github.io/Logging_2560/tillsyn/A 52177-2021 tillsynsbegäran.docx", "A 52177-2021")</f>
        <v/>
      </c>
      <c r="AC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46223</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s="2" t="inlineStr">
        <is>
          <t>Goliatmusseron
Blå taggsvamp
Dropptaggsvamp
Orange taggsvamp
Skarp dropptaggsvamp
Ögonpyrola</t>
        </is>
      </c>
      <c r="V27">
        <f>HYPERLINK("https://klasma.github.io/Logging_2560/artfynd/A 26766-2026 artfynd.xlsx", "A 26766-2026")</f>
        <v/>
      </c>
      <c r="W27">
        <f>HYPERLINK("https://klasma.github.io/Logging_2560/kartor/A 26766-2026 karta.png", "A 26766-2026")</f>
        <v/>
      </c>
      <c r="X27">
        <f>HYPERLINK("https://klasma.github.io/Logging_2560/kartor_geotiff/A 26766-2026 georefererad karta.tif", "A 26766-2026")</f>
        <v/>
      </c>
      <c r="Z27">
        <f>HYPERLINK("https://klasma.github.io/Logging_2560/klagomål/A 26766-2026 FSC-klagomål.docx", "A 26766-2026")</f>
        <v/>
      </c>
      <c r="AA27">
        <f>HYPERLINK("https://klasma.github.io/Logging_2560/klagomålsmail/A 26766-2026 FSC-klagomål mail.docx", "A 26766-2026")</f>
        <v/>
      </c>
      <c r="AB27">
        <f>HYPERLINK("https://klasma.github.io/Logging_2560/tillsyn/A 26766-2026 tillsynsbegäran.docx", "A 26766-2026")</f>
        <v/>
      </c>
      <c r="AC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46223</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s="2" t="inlineStr">
        <is>
          <t>Blå taggsvamp
Dropptaggsvamp
Orange taggsvamp
Skarp dropptaggsvamp
Tallriska</t>
        </is>
      </c>
      <c r="V28">
        <f>HYPERLINK("https://klasma.github.io/Logging_2560/artfynd/A 53643-2025 artfynd.xlsx", "A 53643-2025")</f>
        <v/>
      </c>
      <c r="W28">
        <f>HYPERLINK("https://klasma.github.io/Logging_2560/kartor/A 53643-2025 karta.png", "A 53643-2025")</f>
        <v/>
      </c>
      <c r="X28">
        <f>HYPERLINK("https://klasma.github.io/Logging_2560/kartor_geotiff/A 53643-2025 georefererad karta.tif", "A 53643-2025")</f>
        <v/>
      </c>
      <c r="Z28">
        <f>HYPERLINK("https://klasma.github.io/Logging_2560/klagomål/A 53643-2025 FSC-klagomål.docx", "A 53643-2025")</f>
        <v/>
      </c>
      <c r="AA28">
        <f>HYPERLINK("https://klasma.github.io/Logging_2560/klagomålsmail/A 53643-2025 FSC-klagomål mail.docx", "A 53643-2025")</f>
        <v/>
      </c>
      <c r="AB28">
        <f>HYPERLINK("https://klasma.github.io/Logging_2560/tillsyn/A 53643-2025 tillsynsbegäran.docx", "A 53643-2025")</f>
        <v/>
      </c>
      <c r="AC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46223</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X29">
        <f>HYPERLINK("https://klasma.github.io/Logging_2560/kartor_geotiff/A 15355-2026 georefererad karta.tif", "A 15355-2026")</f>
        <v/>
      </c>
      <c r="Z29">
        <f>HYPERLINK("https://klasma.github.io/Logging_2560/klagomål/A 15355-2026 FSC-klagomål.docx", "A 15355-2026")</f>
        <v/>
      </c>
      <c r="AA29">
        <f>HYPERLINK("https://klasma.github.io/Logging_2560/klagomålsmail/A 15355-2026 FSC-klagomål mail.docx", "A 15355-2026")</f>
        <v/>
      </c>
      <c r="AB29">
        <f>HYPERLINK("https://klasma.github.io/Logging_2560/tillsyn/A 15355-2026 tillsynsbegäran.docx", "A 15355-2026")</f>
        <v/>
      </c>
      <c r="AC29">
        <f>HYPERLINK("https://klasma.github.io/Logging_2560/tillsynsmail/A 15355-2026 tillsynsbegäran mail.docx", "A 15355-2026")</f>
        <v/>
      </c>
      <c r="AD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46223</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s="2" t="inlineStr">
        <is>
          <t>Dropptaggsvamp
Kolflarnlav
Orange taggsvamp
Skarp dropptaggsvamp
Stuplav</t>
        </is>
      </c>
      <c r="V30">
        <f>HYPERLINK("https://klasma.github.io/Logging_2560/artfynd/A 44252-2024 artfynd.xlsx", "A 44252-2024")</f>
        <v/>
      </c>
      <c r="W30">
        <f>HYPERLINK("https://klasma.github.io/Logging_2560/kartor/A 44252-2024 karta.png", "A 44252-2024")</f>
        <v/>
      </c>
      <c r="X30">
        <f>HYPERLINK("https://klasma.github.io/Logging_2560/kartor_geotiff/A 44252-2024 georefererad karta.tif", "A 44252-2024")</f>
        <v/>
      </c>
      <c r="Z30">
        <f>HYPERLINK("https://klasma.github.io/Logging_2560/klagomål/A 44252-2024 FSC-klagomål.docx", "A 44252-2024")</f>
        <v/>
      </c>
      <c r="AA30">
        <f>HYPERLINK("https://klasma.github.io/Logging_2560/klagomålsmail/A 44252-2024 FSC-klagomål mail.docx", "A 44252-2024")</f>
        <v/>
      </c>
      <c r="AB30">
        <f>HYPERLINK("https://klasma.github.io/Logging_2560/tillsyn/A 44252-2024 tillsynsbegäran.docx", "A 44252-2024")</f>
        <v/>
      </c>
      <c r="AC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46223</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s="2" t="inlineStr">
        <is>
          <t>Knärot
Sprickporing
Gammelgransskål
Spillkråka</t>
        </is>
      </c>
      <c r="V31">
        <f>HYPERLINK("https://klasma.github.io/Logging_2560/artfynd/A 73616-2021 artfynd.xlsx", "A 73616-2021")</f>
        <v/>
      </c>
      <c r="W31">
        <f>HYPERLINK("https://klasma.github.io/Logging_2560/kartor/A 73616-2021 karta.png", "A 73616-2021")</f>
        <v/>
      </c>
      <c r="X31">
        <f>HYPERLINK("https://klasma.github.io/Logging_2560/kartor_geotiff/A 73616-2021 georefererad karta.tif", "A 73616-2021")</f>
        <v/>
      </c>
      <c r="Y31">
        <f>HYPERLINK("https://klasma.github.io/Logging_2560/knärot/A 73616-2021 karta knärot.png", "A 73616-2021")</f>
        <v/>
      </c>
      <c r="Z31">
        <f>HYPERLINK("https://klasma.github.io/Logging_2560/klagomål/A 73616-2021 FSC-klagomål.docx", "A 73616-2021")</f>
        <v/>
      </c>
      <c r="AA31">
        <f>HYPERLINK("https://klasma.github.io/Logging_2560/klagomålsmail/A 73616-2021 FSC-klagomål mail.docx", "A 73616-2021")</f>
        <v/>
      </c>
      <c r="AB31">
        <f>HYPERLINK("https://klasma.github.io/Logging_2560/tillsyn/A 73616-2021 tillsynsbegäran.docx", "A 73616-2021")</f>
        <v/>
      </c>
      <c r="AC31">
        <f>HYPERLINK("https://klasma.github.io/Logging_2560/tillsynsmail/A 73616-2021 tillsynsbegäran mail.docx", "A 73616-2021")</f>
        <v/>
      </c>
      <c r="AD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46223</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s="2" t="inlineStr">
        <is>
          <t>Dropptaggsvamp
Kolflarnlav
Orange taggsvamp
Plattlummer</t>
        </is>
      </c>
      <c r="V32">
        <f>HYPERLINK("https://klasma.github.io/Logging_2560/artfynd/A 28582-2025 artfynd.xlsx", "A 28582-2025")</f>
        <v/>
      </c>
      <c r="W32">
        <f>HYPERLINK("https://klasma.github.io/Logging_2560/kartor/A 28582-2025 karta.png", "A 28582-2025")</f>
        <v/>
      </c>
      <c r="X32">
        <f>HYPERLINK("https://klasma.github.io/Logging_2560/kartor_geotiff/A 28582-2025 georefererad karta.tif", "A 28582-2025")</f>
        <v/>
      </c>
      <c r="Z32">
        <f>HYPERLINK("https://klasma.github.io/Logging_2560/klagomål/A 28582-2025 FSC-klagomål.docx", "A 28582-2025")</f>
        <v/>
      </c>
      <c r="AA32">
        <f>HYPERLINK("https://klasma.github.io/Logging_2560/klagomålsmail/A 28582-2025 FSC-klagomål mail.docx", "A 28582-2025")</f>
        <v/>
      </c>
      <c r="AB32">
        <f>HYPERLINK("https://klasma.github.io/Logging_2560/tillsyn/A 28582-2025 tillsynsbegäran.docx", "A 28582-2025")</f>
        <v/>
      </c>
      <c r="AC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46223</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s="2" t="inlineStr">
        <is>
          <t>Dropptaggsvamp
Motaggsvamp
Orange taggsvamp
Skarp dropptaggsvamp</t>
        </is>
      </c>
      <c r="V33">
        <f>HYPERLINK("https://klasma.github.io/Logging_2560/artfynd/A 53641-2025 artfynd.xlsx", "A 53641-2025")</f>
        <v/>
      </c>
      <c r="W33">
        <f>HYPERLINK("https://klasma.github.io/Logging_2560/kartor/A 53641-2025 karta.png", "A 53641-2025")</f>
        <v/>
      </c>
      <c r="X33">
        <f>HYPERLINK("https://klasma.github.io/Logging_2560/kartor_geotiff/A 53641-2025 georefererad karta.tif", "A 53641-2025")</f>
        <v/>
      </c>
      <c r="Z33">
        <f>HYPERLINK("https://klasma.github.io/Logging_2560/klagomål/A 53641-2025 FSC-klagomål.docx", "A 53641-2025")</f>
        <v/>
      </c>
      <c r="AA33">
        <f>HYPERLINK("https://klasma.github.io/Logging_2560/klagomålsmail/A 53641-2025 FSC-klagomål mail.docx", "A 53641-2025")</f>
        <v/>
      </c>
      <c r="AB33">
        <f>HYPERLINK("https://klasma.github.io/Logging_2560/tillsyn/A 53641-2025 tillsynsbegäran.docx", "A 53641-2025")</f>
        <v/>
      </c>
      <c r="AC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46223</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s="2" t="inlineStr">
        <is>
          <t>Ulltickeporing
Rosenticka
Bollvitmossa
Stuplav</t>
        </is>
      </c>
      <c r="V34">
        <f>HYPERLINK("https://klasma.github.io/Logging_2560/artfynd/A 23807-2026 artfynd.xlsx", "A 23807-2026")</f>
        <v/>
      </c>
      <c r="W34">
        <f>HYPERLINK("https://klasma.github.io/Logging_2560/kartor/A 23807-2026 karta.png", "A 23807-2026")</f>
        <v/>
      </c>
      <c r="X34">
        <f>HYPERLINK("https://klasma.github.io/Logging_2560/kartor_geotiff/A 23807-2026 georefererad karta.tif", "A 23807-2026")</f>
        <v/>
      </c>
      <c r="Z34">
        <f>HYPERLINK("https://klasma.github.io/Logging_2560/klagomål/A 23807-2026 FSC-klagomål.docx", "A 23807-2026")</f>
        <v/>
      </c>
      <c r="AA34">
        <f>HYPERLINK("https://klasma.github.io/Logging_2560/klagomålsmail/A 23807-2026 FSC-klagomål mail.docx", "A 23807-2026")</f>
        <v/>
      </c>
      <c r="AB34">
        <f>HYPERLINK("https://klasma.github.io/Logging_2560/tillsyn/A 23807-2026 tillsynsbegäran.docx", "A 23807-2026")</f>
        <v/>
      </c>
      <c r="AC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46223</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X35">
        <f>HYPERLINK("https://klasma.github.io/Logging_2560/kartor_geotiff/A 30592-2026 georefererad karta.tif", "A 30592-2026")</f>
        <v/>
      </c>
      <c r="Z35">
        <f>HYPERLINK("https://klasma.github.io/Logging_2560/klagomål/A 30592-2026 FSC-klagomål.docx", "A 30592-2026")</f>
        <v/>
      </c>
      <c r="AA35">
        <f>HYPERLINK("https://klasma.github.io/Logging_2560/klagomålsmail/A 30592-2026 FSC-klagomål mail.docx", "A 30592-2026")</f>
        <v/>
      </c>
      <c r="AB35">
        <f>HYPERLINK("https://klasma.github.io/Logging_2560/tillsyn/A 30592-2026 tillsynsbegäran.docx", "A 30592-2026")</f>
        <v/>
      </c>
      <c r="AC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46223</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s="2" t="inlineStr">
        <is>
          <t>Doftticka
Garnlav
Lunglav
Fläcknycklar</t>
        </is>
      </c>
      <c r="V36">
        <f>HYPERLINK("https://klasma.github.io/Logging_2560/artfynd/A 30723-2026 artfynd.xlsx", "A 30723-2026")</f>
        <v/>
      </c>
      <c r="W36">
        <f>HYPERLINK("https://klasma.github.io/Logging_2560/kartor/A 30723-2026 karta.png", "A 30723-2026")</f>
        <v/>
      </c>
      <c r="X36">
        <f>HYPERLINK("https://klasma.github.io/Logging_2560/kartor_geotiff/A 30723-2026 georefererad karta.tif", "A 30723-2026")</f>
        <v/>
      </c>
      <c r="Z36">
        <f>HYPERLINK("https://klasma.github.io/Logging_2560/klagomål/A 30723-2026 FSC-klagomål.docx", "A 30723-2026")</f>
        <v/>
      </c>
      <c r="AA36">
        <f>HYPERLINK("https://klasma.github.io/Logging_2560/klagomålsmail/A 30723-2026 FSC-klagomål mail.docx", "A 30723-2026")</f>
        <v/>
      </c>
      <c r="AB36">
        <f>HYPERLINK("https://klasma.github.io/Logging_2560/tillsyn/A 30723-2026 tillsynsbegäran.docx", "A 30723-2026")</f>
        <v/>
      </c>
      <c r="AC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46223</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s="2" t="inlineStr">
        <is>
          <t>Orange taggsvamp
Fläcknycklar
Revlummer</t>
        </is>
      </c>
      <c r="V37">
        <f>HYPERLINK("https://klasma.github.io/Logging_2560/artfynd/A 34304-2025 artfynd.xlsx", "A 34304-2025")</f>
        <v/>
      </c>
      <c r="W37">
        <f>HYPERLINK("https://klasma.github.io/Logging_2560/kartor/A 34304-2025 karta.png", "A 34304-2025")</f>
        <v/>
      </c>
      <c r="X37">
        <f>HYPERLINK("https://klasma.github.io/Logging_2560/kartor_geotiff/A 34304-2025 georefererad karta.tif", "A 34304-2025")</f>
        <v/>
      </c>
      <c r="Z37">
        <f>HYPERLINK("https://klasma.github.io/Logging_2560/klagomål/A 34304-2025 FSC-klagomål.docx", "A 34304-2025")</f>
        <v/>
      </c>
      <c r="AA37">
        <f>HYPERLINK("https://klasma.github.io/Logging_2560/klagomålsmail/A 34304-2025 FSC-klagomål mail.docx", "A 34304-2025")</f>
        <v/>
      </c>
      <c r="AB37">
        <f>HYPERLINK("https://klasma.github.io/Logging_2560/tillsyn/A 34304-2025 tillsynsbegäran.docx", "A 34304-2025")</f>
        <v/>
      </c>
      <c r="AC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46223</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s="2" t="inlineStr">
        <is>
          <t>Dropptaggsvamp
Kolflarnlav
Vaddporing</t>
        </is>
      </c>
      <c r="V38">
        <f>HYPERLINK("https://klasma.github.io/Logging_2560/artfynd/A 50156-2024 artfynd.xlsx", "A 50156-2024")</f>
        <v/>
      </c>
      <c r="W38">
        <f>HYPERLINK("https://klasma.github.io/Logging_2560/kartor/A 50156-2024 karta.png", "A 50156-2024")</f>
        <v/>
      </c>
      <c r="X38">
        <f>HYPERLINK("https://klasma.github.io/Logging_2560/kartor_geotiff/A 50156-2024 georefererad karta.tif", "A 50156-2024")</f>
        <v/>
      </c>
      <c r="Z38">
        <f>HYPERLINK("https://klasma.github.io/Logging_2560/klagomål/A 50156-2024 FSC-klagomål.docx", "A 50156-2024")</f>
        <v/>
      </c>
      <c r="AA38">
        <f>HYPERLINK("https://klasma.github.io/Logging_2560/klagomålsmail/A 50156-2024 FSC-klagomål mail.docx", "A 50156-2024")</f>
        <v/>
      </c>
      <c r="AB38">
        <f>HYPERLINK("https://klasma.github.io/Logging_2560/tillsyn/A 50156-2024 tillsynsbegäran.docx", "A 50156-2024")</f>
        <v/>
      </c>
      <c r="AC38">
        <f>HYPERLINK("https://klasma.github.io/Logging_2560/tillsynsmail/A 50156-2024 tillsynsbegäran mail.docx", "A 50156-2024")</f>
        <v/>
      </c>
    </row>
    <row r="39" ht="15" customHeight="1">
      <c r="A39" t="inlineStr">
        <is>
          <t>A 52964-2025</t>
        </is>
      </c>
      <c r="B39" t="inlineStr">
        <is>
          <t>avverkningsanmälan</t>
        </is>
      </c>
      <c r="C39" t="inlineStr">
        <is>
          <t>Avverkning för annat ändamål</t>
        </is>
      </c>
      <c r="D39" s="1" t="n">
        <v>45957</v>
      </c>
      <c r="E39" s="1" t="n">
        <v>46223</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s="2" t="inlineStr">
        <is>
          <t>Garnlav
Lunglav
Stuplav</t>
        </is>
      </c>
      <c r="V39">
        <f>HYPERLINK("https://klasma.github.io/Logging_2560/artfynd/A 52964-2025 artfynd.xlsx", "A 52964-2025")</f>
        <v/>
      </c>
      <c r="W39">
        <f>HYPERLINK("https://klasma.github.io/Logging_2560/kartor/A 52964-2025 karta.png", "A 52964-2025")</f>
        <v/>
      </c>
      <c r="X39">
        <f>HYPERLINK("https://klasma.github.io/Logging_2560/kartor_geotiff/A 52964-2025 georefererad karta.tif", "A 52964-2025")</f>
        <v/>
      </c>
      <c r="Z39">
        <f>HYPERLINK("https://klasma.github.io/Logging_2560/klagomål/A 52964-2025 FSC-klagomål.docx", "A 52964-2025")</f>
        <v/>
      </c>
      <c r="AA39">
        <f>HYPERLINK("https://klasma.github.io/Logging_2560/klagomålsmail/A 52964-2025 FSC-klagomål mail.docx", "A 52964-2025")</f>
        <v/>
      </c>
      <c r="AB39">
        <f>HYPERLINK("https://klasma.github.io/Logging_2560/tillsyn/A 52964-2025 tillsynsbegäran.docx", "A 52964-2025")</f>
        <v/>
      </c>
      <c r="AC39">
        <f>HYPERLINK("https://klasma.github.io/Logging_2560/tillsynsmail/A 52964-2025 tillsynsbegäran mail.docx", "A 52964-2025")</f>
        <v/>
      </c>
    </row>
    <row r="40" ht="15" customHeight="1">
      <c r="A40" t="inlineStr">
        <is>
          <t>A 45316-2024</t>
        </is>
      </c>
      <c r="B40" t="inlineStr">
        <is>
          <t>avverkningsanmälan</t>
        </is>
      </c>
      <c r="C40" t="inlineStr">
        <is>
          <t>Föryngringsavverkning</t>
        </is>
      </c>
      <c r="D40" s="1" t="n">
        <v>45576</v>
      </c>
      <c r="E40" s="1" t="n">
        <v>46223</v>
      </c>
      <c r="F40" t="inlineStr">
        <is>
          <t>NORRBOTTENS LÄN</t>
        </is>
      </c>
      <c r="G40" t="inlineStr">
        <is>
          <t>ÄLVSBYN</t>
        </is>
      </c>
      <c r="H40" t="inlineStr">
        <is>
          <t>Sveaskog</t>
        </is>
      </c>
      <c r="I40" t="n">
        <v>12.2</v>
      </c>
      <c r="J40" t="n">
        <v>0</v>
      </c>
      <c r="K40" t="n">
        <v>1</v>
      </c>
      <c r="L40" t="n">
        <v>2</v>
      </c>
      <c r="M40" t="n">
        <v>0</v>
      </c>
      <c r="N40" t="n">
        <v>0</v>
      </c>
      <c r="O40" t="n">
        <v>0</v>
      </c>
      <c r="P40" t="n">
        <v>0</v>
      </c>
      <c r="Q40" t="n">
        <v>2</v>
      </c>
      <c r="R40" t="n">
        <v>0</v>
      </c>
      <c r="S40" t="n">
        <v>3</v>
      </c>
      <c r="T40" t="n">
        <v>5</v>
      </c>
      <c r="U40" s="2" t="inlineStr">
        <is>
          <t>Dropptaggsvamp
Lunglav
Stuplav</t>
        </is>
      </c>
      <c r="V40">
        <f>HYPERLINK("https://klasma.github.io/Logging_2560/artfynd/A 45316-2024 artfynd.xlsx", "A 45316-2024")</f>
        <v/>
      </c>
      <c r="W40">
        <f>HYPERLINK("https://klasma.github.io/Logging_2560/kartor/A 45316-2024 karta.png", "A 45316-2024")</f>
        <v/>
      </c>
      <c r="X40">
        <f>HYPERLINK("https://klasma.github.io/Logging_2560/kartor_geotiff/A 45316-2024 georefererad karta.tif", "A 45316-2024")</f>
        <v/>
      </c>
      <c r="Z40">
        <f>HYPERLINK("https://klasma.github.io/Logging_2560/klagomål/A 45316-2024 FSC-klagomål.docx", "A 45316-2024")</f>
        <v/>
      </c>
      <c r="AA40">
        <f>HYPERLINK("https://klasma.github.io/Logging_2560/klagomålsmail/A 45316-2024 FSC-klagomål mail.docx", "A 45316-2024")</f>
        <v/>
      </c>
      <c r="AB40">
        <f>HYPERLINK("https://klasma.github.io/Logging_2560/tillsyn/A 45316-2024 tillsynsbegäran.docx", "A 45316-2024")</f>
        <v/>
      </c>
      <c r="AC40">
        <f>HYPERLINK("https://klasma.github.io/Logging_2560/tillsynsmail/A 45316-2024 tillsynsbegäran mail.docx", "A 45316-2024")</f>
        <v/>
      </c>
    </row>
    <row r="41" ht="15" customHeight="1">
      <c r="A41" t="inlineStr">
        <is>
          <t>A 27984-2026</t>
        </is>
      </c>
      <c r="B41" t="inlineStr">
        <is>
          <t>avverkningsanmälan</t>
        </is>
      </c>
      <c r="C41" t="inlineStr">
        <is>
          <t>Föryngringsavverkning</t>
        </is>
      </c>
      <c r="D41" s="1" t="n">
        <v>46195</v>
      </c>
      <c r="E41" s="1" t="n">
        <v>46223</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s="2" t="inlineStr">
        <is>
          <t>Dropptaggsvamp
Kolflarnlav
Stuplav</t>
        </is>
      </c>
      <c r="V41">
        <f>HYPERLINK("https://klasma.github.io/Logging_2560/artfynd/A 27984-2026 artfynd.xlsx", "A 27984-2026")</f>
        <v/>
      </c>
      <c r="W41">
        <f>HYPERLINK("https://klasma.github.io/Logging_2560/kartor/A 27984-2026 karta.png", "A 27984-2026")</f>
        <v/>
      </c>
      <c r="X41">
        <f>HYPERLINK("https://klasma.github.io/Logging_2560/kartor_geotiff/A 27984-2026 georefererad karta.tif", "A 27984-2026")</f>
        <v/>
      </c>
      <c r="Z41">
        <f>HYPERLINK("https://klasma.github.io/Logging_2560/klagomål/A 27984-2026 FSC-klagomål.docx", "A 27984-2026")</f>
        <v/>
      </c>
      <c r="AA41">
        <f>HYPERLINK("https://klasma.github.io/Logging_2560/klagomålsmail/A 27984-2026 FSC-klagomål mail.docx", "A 27984-2026")</f>
        <v/>
      </c>
      <c r="AB41">
        <f>HYPERLINK("https://klasma.github.io/Logging_2560/tillsyn/A 27984-2026 tillsynsbegäran.docx", "A 27984-2026")</f>
        <v/>
      </c>
      <c r="AC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46223</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s="2" t="inlineStr">
        <is>
          <t>Garnlav
Knottrig blåslav
Rynkskinn</t>
        </is>
      </c>
      <c r="V42">
        <f>HYPERLINK("https://klasma.github.io/Logging_2560/artfynd/A 30047-2026 artfynd.xlsx", "A 30047-2026")</f>
        <v/>
      </c>
      <c r="W42">
        <f>HYPERLINK("https://klasma.github.io/Logging_2560/kartor/A 30047-2026 karta.png", "A 30047-2026")</f>
        <v/>
      </c>
      <c r="X42">
        <f>HYPERLINK("https://klasma.github.io/Logging_2560/kartor_geotiff/A 30047-2026 georefererad karta.tif", "A 30047-2026")</f>
        <v/>
      </c>
      <c r="Z42">
        <f>HYPERLINK("https://klasma.github.io/Logging_2560/klagomål/A 30047-2026 FSC-klagomål.docx", "A 30047-2026")</f>
        <v/>
      </c>
      <c r="AA42">
        <f>HYPERLINK("https://klasma.github.io/Logging_2560/klagomålsmail/A 30047-2026 FSC-klagomål mail.docx", "A 30047-2026")</f>
        <v/>
      </c>
      <c r="AB42">
        <f>HYPERLINK("https://klasma.github.io/Logging_2560/tillsyn/A 30047-2026 tillsynsbegäran.docx", "A 30047-2026")</f>
        <v/>
      </c>
      <c r="AC42">
        <f>HYPERLINK("https://klasma.github.io/Logging_2560/tillsynsmail/A 30047-2026 tillsynsbegäran mail.docx", "A 30047-2026")</f>
        <v/>
      </c>
    </row>
    <row r="43" ht="15" customHeight="1">
      <c r="A43" t="inlineStr">
        <is>
          <t>A 30584-2026</t>
        </is>
      </c>
      <c r="B43" t="inlineStr">
        <is>
          <t>avverkningsanmälan</t>
        </is>
      </c>
      <c r="C43" t="inlineStr">
        <is>
          <t>Föryngringsavverkning</t>
        </is>
      </c>
      <c r="D43" s="1" t="n">
        <v>46210</v>
      </c>
      <c r="E43" s="1" t="n">
        <v>46223</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s="2" t="inlineStr">
        <is>
          <t>Garnlav
Kolflarnlav
Vedskivlav</t>
        </is>
      </c>
      <c r="V43">
        <f>HYPERLINK("https://klasma.github.io/Logging_2560/artfynd/A 30584-2026 artfynd.xlsx", "A 30584-2026")</f>
        <v/>
      </c>
      <c r="W43">
        <f>HYPERLINK("https://klasma.github.io/Logging_2560/kartor/A 30584-2026 karta.png", "A 30584-2026")</f>
        <v/>
      </c>
      <c r="X43">
        <f>HYPERLINK("https://klasma.github.io/Logging_2560/kartor_geotiff/A 30584-2026 georefererad karta.tif", "A 30584-2026")</f>
        <v/>
      </c>
      <c r="Z43">
        <f>HYPERLINK("https://klasma.github.io/Logging_2560/klagomål/A 30584-2026 FSC-klagomål.docx", "A 30584-2026")</f>
        <v/>
      </c>
      <c r="AA43">
        <f>HYPERLINK("https://klasma.github.io/Logging_2560/klagomålsmail/A 30584-2026 FSC-klagomål mail.docx", "A 30584-2026")</f>
        <v/>
      </c>
      <c r="AB43">
        <f>HYPERLINK("https://klasma.github.io/Logging_2560/tillsyn/A 30584-2026 tillsynsbegäran.docx", "A 30584-2026")</f>
        <v/>
      </c>
      <c r="AC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46223</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s="2" t="inlineStr">
        <is>
          <t>Garnlav
Lunglav
Bollvitmossa</t>
        </is>
      </c>
      <c r="V44">
        <f>HYPERLINK("https://klasma.github.io/Logging_2560/artfynd/A 30573-2026 artfynd.xlsx", "A 30573-2026")</f>
        <v/>
      </c>
      <c r="W44">
        <f>HYPERLINK("https://klasma.github.io/Logging_2560/kartor/A 30573-2026 karta.png", "A 30573-2026")</f>
        <v/>
      </c>
      <c r="X44">
        <f>HYPERLINK("https://klasma.github.io/Logging_2560/kartor_geotiff/A 30573-2026 georefererad karta.tif", "A 30573-2026")</f>
        <v/>
      </c>
      <c r="Z44">
        <f>HYPERLINK("https://klasma.github.io/Logging_2560/klagomål/A 30573-2026 FSC-klagomål.docx", "A 30573-2026")</f>
        <v/>
      </c>
      <c r="AA44">
        <f>HYPERLINK("https://klasma.github.io/Logging_2560/klagomålsmail/A 30573-2026 FSC-klagomål mail.docx", "A 30573-2026")</f>
        <v/>
      </c>
      <c r="AB44">
        <f>HYPERLINK("https://klasma.github.io/Logging_2560/tillsyn/A 30573-2026 tillsynsbegäran.docx", "A 30573-2026")</f>
        <v/>
      </c>
      <c r="AC44">
        <f>HYPERLINK("https://klasma.github.io/Logging_2560/tillsynsmail/A 30573-2026 tillsynsbegäran mail.docx", "A 30573-2026")</f>
        <v/>
      </c>
    </row>
    <row r="45" ht="15" customHeight="1">
      <c r="A45" t="inlineStr">
        <is>
          <t>A 30717-2026</t>
        </is>
      </c>
      <c r="B45" t="inlineStr">
        <is>
          <t>avverkningsanmälan</t>
        </is>
      </c>
      <c r="C45" t="inlineStr">
        <is>
          <t>Föryngringsavverkning</t>
        </is>
      </c>
      <c r="D45" s="1" t="n">
        <v>46211</v>
      </c>
      <c r="E45" s="1" t="n">
        <v>46223</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s="2" t="inlineStr">
        <is>
          <t>Garnlav
Lunglav
Fläcknycklar</t>
        </is>
      </c>
      <c r="V45">
        <f>HYPERLINK("https://klasma.github.io/Logging_2560/artfynd/A 30717-2026 artfynd.xlsx", "A 30717-2026")</f>
        <v/>
      </c>
      <c r="W45">
        <f>HYPERLINK("https://klasma.github.io/Logging_2560/kartor/A 30717-2026 karta.png", "A 30717-2026")</f>
        <v/>
      </c>
      <c r="X45">
        <f>HYPERLINK("https://klasma.github.io/Logging_2560/kartor_geotiff/A 30717-2026 georefererad karta.tif", "A 30717-2026")</f>
        <v/>
      </c>
      <c r="Z45">
        <f>HYPERLINK("https://klasma.github.io/Logging_2560/klagomål/A 30717-2026 FSC-klagomål.docx", "A 30717-2026")</f>
        <v/>
      </c>
      <c r="AA45">
        <f>HYPERLINK("https://klasma.github.io/Logging_2560/klagomålsmail/A 30717-2026 FSC-klagomål mail.docx", "A 30717-2026")</f>
        <v/>
      </c>
      <c r="AB45">
        <f>HYPERLINK("https://klasma.github.io/Logging_2560/tillsyn/A 30717-2026 tillsynsbegäran.docx", "A 30717-2026")</f>
        <v/>
      </c>
      <c r="AC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46223</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s="2" t="inlineStr">
        <is>
          <t>Rotfingersvamp
Skrovlig taggsvamp
Orange taggsvamp</t>
        </is>
      </c>
      <c r="V46">
        <f>HYPERLINK("https://klasma.github.io/Logging_2560/artfynd/A 22567-2025 artfynd.xlsx", "A 22567-2025")</f>
        <v/>
      </c>
      <c r="W46">
        <f>HYPERLINK("https://klasma.github.io/Logging_2560/kartor/A 22567-2025 karta.png", "A 22567-2025")</f>
        <v/>
      </c>
      <c r="X46">
        <f>HYPERLINK("https://klasma.github.io/Logging_2560/kartor_geotiff/A 22567-2025 georefererad karta.tif", "A 22567-2025")</f>
        <v/>
      </c>
      <c r="Z46">
        <f>HYPERLINK("https://klasma.github.io/Logging_2560/klagomål/A 22567-2025 FSC-klagomål.docx", "A 22567-2025")</f>
        <v/>
      </c>
      <c r="AA46">
        <f>HYPERLINK("https://klasma.github.io/Logging_2560/klagomålsmail/A 22567-2025 FSC-klagomål mail.docx", "A 22567-2025")</f>
        <v/>
      </c>
      <c r="AB46">
        <f>HYPERLINK("https://klasma.github.io/Logging_2560/tillsyn/A 22567-2025 tillsynsbegäran.docx", "A 22567-2025")</f>
        <v/>
      </c>
      <c r="AC46">
        <f>HYPERLINK("https://klasma.github.io/Logging_2560/tillsynsmail/A 22567-2025 tillsynsbegäran mail.docx", "A 22567-2025")</f>
        <v/>
      </c>
    </row>
    <row r="47" ht="15" customHeight="1">
      <c r="A47" t="inlineStr">
        <is>
          <t>A 52513-2022</t>
        </is>
      </c>
      <c r="B47" t="inlineStr">
        <is>
          <t>avverkningsanmälan</t>
        </is>
      </c>
      <c r="C47" t="inlineStr">
        <is>
          <t>Avverkning för att bevara och utveckla /försöksver</t>
        </is>
      </c>
      <c r="D47" s="1" t="n">
        <v>44874</v>
      </c>
      <c r="E47" s="1" t="n">
        <v>46223</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s="2" t="inlineStr">
        <is>
          <t>Gammelgransskål
Lunglav</t>
        </is>
      </c>
      <c r="V47">
        <f>HYPERLINK("https://klasma.github.io/Logging_2560/artfynd/A 52513-2022 artfynd.xlsx", "A 52513-2022")</f>
        <v/>
      </c>
      <c r="W47">
        <f>HYPERLINK("https://klasma.github.io/Logging_2560/kartor/A 52513-2022 karta.png", "A 52513-2022")</f>
        <v/>
      </c>
      <c r="X47">
        <f>HYPERLINK("https://klasma.github.io/Logging_2560/kartor_geotiff/A 52513-2022 georefererad karta.tif", "A 52513-2022")</f>
        <v/>
      </c>
      <c r="Z47">
        <f>HYPERLINK("https://klasma.github.io/Logging_2560/klagomål/A 52513-2022 FSC-klagomål.docx", "A 52513-2022")</f>
        <v/>
      </c>
      <c r="AA47">
        <f>HYPERLINK("https://klasma.github.io/Logging_2560/klagomålsmail/A 52513-2022 FSC-klagomål mail.docx", "A 52513-2022")</f>
        <v/>
      </c>
      <c r="AB47">
        <f>HYPERLINK("https://klasma.github.io/Logging_2560/tillsyn/A 52513-2022 tillsynsbegäran.docx", "A 52513-2022")</f>
        <v/>
      </c>
      <c r="AC47">
        <f>HYPERLINK("https://klasma.github.io/Logging_2560/tillsynsmail/A 52513-2022 tillsynsbegäran mail.docx", "A 52513-2022")</f>
        <v/>
      </c>
    </row>
    <row r="48" ht="15" customHeight="1">
      <c r="A48" t="inlineStr">
        <is>
          <t>A 45310-2024</t>
        </is>
      </c>
      <c r="B48" t="inlineStr">
        <is>
          <t>avverkningsanmälan</t>
        </is>
      </c>
      <c r="C48" t="inlineStr">
        <is>
          <t>Föryngringsavverkning</t>
        </is>
      </c>
      <c r="D48" s="1" t="n">
        <v>45576</v>
      </c>
      <c r="E48" s="1" t="n">
        <v>46223</v>
      </c>
      <c r="F48" t="inlineStr">
        <is>
          <t>NORRBOTTENS LÄN</t>
        </is>
      </c>
      <c r="G48" t="inlineStr">
        <is>
          <t>ÄLVSBYN</t>
        </is>
      </c>
      <c r="I48" t="n">
        <v>8.199999999999999</v>
      </c>
      <c r="J48" t="n">
        <v>0</v>
      </c>
      <c r="K48" t="n">
        <v>1</v>
      </c>
      <c r="L48" t="n">
        <v>1</v>
      </c>
      <c r="M48" t="n">
        <v>0</v>
      </c>
      <c r="N48" t="n">
        <v>0</v>
      </c>
      <c r="O48" t="n">
        <v>0</v>
      </c>
      <c r="P48" t="n">
        <v>0</v>
      </c>
      <c r="Q48" t="n">
        <v>1</v>
      </c>
      <c r="R48" t="n">
        <v>0</v>
      </c>
      <c r="S48" t="n">
        <v>2</v>
      </c>
      <c r="T48" t="n">
        <v>7</v>
      </c>
      <c r="U48" s="2" t="inlineStr">
        <is>
          <t>Lunglav
Stuplav</t>
        </is>
      </c>
      <c r="V48">
        <f>HYPERLINK("https://klasma.github.io/Logging_2560/artfynd/A 45310-2024 artfynd.xlsx", "A 45310-2024")</f>
        <v/>
      </c>
      <c r="W48">
        <f>HYPERLINK("https://klasma.github.io/Logging_2560/kartor/A 45310-2024 karta.png", "A 45310-2024")</f>
        <v/>
      </c>
      <c r="X48">
        <f>HYPERLINK("https://klasma.github.io/Logging_2560/kartor_geotiff/A 45310-2024 georefererad karta.tif", "A 45310-2024")</f>
        <v/>
      </c>
      <c r="Z48">
        <f>HYPERLINK("https://klasma.github.io/Logging_2560/klagomål/A 45310-2024 FSC-klagomål.docx", "A 45310-2024")</f>
        <v/>
      </c>
      <c r="AA48">
        <f>HYPERLINK("https://klasma.github.io/Logging_2560/klagomålsmail/A 45310-2024 FSC-klagomål mail.docx", "A 45310-2024")</f>
        <v/>
      </c>
      <c r="AB48">
        <f>HYPERLINK("https://klasma.github.io/Logging_2560/tillsyn/A 45310-2024 tillsynsbegäran.docx", "A 45310-2024")</f>
        <v/>
      </c>
      <c r="AC48">
        <f>HYPERLINK("https://klasma.github.io/Logging_2560/tillsynsmail/A 45310-2024 tillsynsbegäran mail.docx", "A 45310-2024")</f>
        <v/>
      </c>
    </row>
    <row r="49" ht="15" customHeight="1">
      <c r="A49" t="inlineStr">
        <is>
          <t>A 23134-2024</t>
        </is>
      </c>
      <c r="B49" t="inlineStr">
        <is>
          <t>avverkningsanmälan</t>
        </is>
      </c>
      <c r="C49" t="inlineStr">
        <is>
          <t>Föryngringsavverkning</t>
        </is>
      </c>
      <c r="D49" s="1" t="n">
        <v>45450</v>
      </c>
      <c r="E49" s="1" t="n">
        <v>46223</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s="2" t="inlineStr">
        <is>
          <t>Lunglav
Stuplav</t>
        </is>
      </c>
      <c r="V49">
        <f>HYPERLINK("https://klasma.github.io/Logging_2560/artfynd/A 23134-2024 artfynd.xlsx", "A 23134-2024")</f>
        <v/>
      </c>
      <c r="W49">
        <f>HYPERLINK("https://klasma.github.io/Logging_2560/kartor/A 23134-2024 karta.png", "A 23134-2024")</f>
        <v/>
      </c>
      <c r="X49">
        <f>HYPERLINK("https://klasma.github.io/Logging_2560/kartor_geotiff/A 23134-2024 georefererad karta.tif", "A 23134-2024")</f>
        <v/>
      </c>
      <c r="Z49">
        <f>HYPERLINK("https://klasma.github.io/Logging_2560/klagomål/A 23134-2024 FSC-klagomål.docx", "A 23134-2024")</f>
        <v/>
      </c>
      <c r="AA49">
        <f>HYPERLINK("https://klasma.github.io/Logging_2560/klagomålsmail/A 23134-2024 FSC-klagomål mail.docx", "A 23134-2024")</f>
        <v/>
      </c>
      <c r="AB49">
        <f>HYPERLINK("https://klasma.github.io/Logging_2560/tillsyn/A 23134-2024 tillsynsbegäran.docx", "A 23134-2024")</f>
        <v/>
      </c>
      <c r="AC49">
        <f>HYPERLINK("https://klasma.github.io/Logging_2560/tillsynsmail/A 23134-2024 tillsynsbegäran mail.docx", "A 23134-2024")</f>
        <v/>
      </c>
    </row>
    <row r="50" ht="15" customHeight="1">
      <c r="A50" t="inlineStr">
        <is>
          <t>A 28555-2025</t>
        </is>
      </c>
      <c r="B50" t="inlineStr">
        <is>
          <t>avverkningsanmälan</t>
        </is>
      </c>
      <c r="C50" t="inlineStr">
        <is>
          <t>Föryngringsavverkning</t>
        </is>
      </c>
      <c r="D50" s="1" t="n">
        <v>45819</v>
      </c>
      <c r="E50" s="1" t="n">
        <v>46223</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s="2" t="inlineStr">
        <is>
          <t>Kolflarnlav
Lunglav</t>
        </is>
      </c>
      <c r="V50">
        <f>HYPERLINK("https://klasma.github.io/Logging_2560/artfynd/A 28555-2025 artfynd.xlsx", "A 28555-2025")</f>
        <v/>
      </c>
      <c r="W50">
        <f>HYPERLINK("https://klasma.github.io/Logging_2560/kartor/A 28555-2025 karta.png", "A 28555-2025")</f>
        <v/>
      </c>
      <c r="X50">
        <f>HYPERLINK("https://klasma.github.io/Logging_2560/kartor_geotiff/A 28555-2025 georefererad karta.tif", "A 28555-2025")</f>
        <v/>
      </c>
      <c r="Z50">
        <f>HYPERLINK("https://klasma.github.io/Logging_2560/klagomål/A 28555-2025 FSC-klagomål.docx", "A 28555-2025")</f>
        <v/>
      </c>
      <c r="AA50">
        <f>HYPERLINK("https://klasma.github.io/Logging_2560/klagomålsmail/A 28555-2025 FSC-klagomål mail.docx", "A 28555-2025")</f>
        <v/>
      </c>
      <c r="AB50">
        <f>HYPERLINK("https://klasma.github.io/Logging_2560/tillsyn/A 28555-2025 tillsynsbegäran.docx", "A 28555-2025")</f>
        <v/>
      </c>
      <c r="AC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46223</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s="2" t="inlineStr">
        <is>
          <t>Garnlav
Lunglav</t>
        </is>
      </c>
      <c r="V51">
        <f>HYPERLINK("https://klasma.github.io/Logging_2560/artfynd/A 47982-2025 artfynd.xlsx", "A 47982-2025")</f>
        <v/>
      </c>
      <c r="W51">
        <f>HYPERLINK("https://klasma.github.io/Logging_2560/kartor/A 47982-2025 karta.png", "A 47982-2025")</f>
        <v/>
      </c>
      <c r="X51">
        <f>HYPERLINK("https://klasma.github.io/Logging_2560/kartor_geotiff/A 47982-2025 georefererad karta.tif", "A 47982-2025")</f>
        <v/>
      </c>
      <c r="Z51">
        <f>HYPERLINK("https://klasma.github.io/Logging_2560/klagomål/A 47982-2025 FSC-klagomål.docx", "A 47982-2025")</f>
        <v/>
      </c>
      <c r="AA51">
        <f>HYPERLINK("https://klasma.github.io/Logging_2560/klagomålsmail/A 47982-2025 FSC-klagomål mail.docx", "A 47982-2025")</f>
        <v/>
      </c>
      <c r="AB51">
        <f>HYPERLINK("https://klasma.github.io/Logging_2560/tillsyn/A 47982-2025 tillsynsbegäran.docx", "A 47982-2025")</f>
        <v/>
      </c>
      <c r="AC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46223</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s="2" t="inlineStr">
        <is>
          <t>Dropptaggsvamp
Kolflarnlav</t>
        </is>
      </c>
      <c r="V52">
        <f>HYPERLINK("https://klasma.github.io/Logging_2560/artfynd/A 50430-2025 artfynd.xlsx", "A 50430-2025")</f>
        <v/>
      </c>
      <c r="W52">
        <f>HYPERLINK("https://klasma.github.io/Logging_2560/kartor/A 50430-2025 karta.png", "A 50430-2025")</f>
        <v/>
      </c>
      <c r="X52">
        <f>HYPERLINK("https://klasma.github.io/Logging_2560/kartor_geotiff/A 50430-2025 georefererad karta.tif", "A 50430-2025")</f>
        <v/>
      </c>
      <c r="Z52">
        <f>HYPERLINK("https://klasma.github.io/Logging_2560/klagomål/A 50430-2025 FSC-klagomål.docx", "A 50430-2025")</f>
        <v/>
      </c>
      <c r="AA52">
        <f>HYPERLINK("https://klasma.github.io/Logging_2560/klagomålsmail/A 50430-2025 FSC-klagomål mail.docx", "A 50430-2025")</f>
        <v/>
      </c>
      <c r="AB52">
        <f>HYPERLINK("https://klasma.github.io/Logging_2560/tillsyn/A 50430-2025 tillsynsbegäran.docx", "A 50430-2025")</f>
        <v/>
      </c>
      <c r="AC52">
        <f>HYPERLINK("https://klasma.github.io/Logging_2560/tillsynsmail/A 50430-2025 tillsynsbegäran mail.docx", "A 50430-2025")</f>
        <v/>
      </c>
    </row>
    <row r="53" ht="15" customHeight="1">
      <c r="A53" t="inlineStr">
        <is>
          <t>A 23136-2024</t>
        </is>
      </c>
      <c r="B53" t="inlineStr">
        <is>
          <t>avverkningsanmälan</t>
        </is>
      </c>
      <c r="C53" t="inlineStr">
        <is>
          <t>Föryngringsavverkning</t>
        </is>
      </c>
      <c r="D53" s="1" t="n">
        <v>45450</v>
      </c>
      <c r="E53" s="1" t="n">
        <v>46223</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s="2" t="inlineStr">
        <is>
          <t>Lunglav
Stuplav</t>
        </is>
      </c>
      <c r="V53">
        <f>HYPERLINK("https://klasma.github.io/Logging_2560/artfynd/A 23136-2024 artfynd.xlsx", "A 23136-2024")</f>
        <v/>
      </c>
      <c r="W53">
        <f>HYPERLINK("https://klasma.github.io/Logging_2560/kartor/A 23136-2024 karta.png", "A 23136-2024")</f>
        <v/>
      </c>
      <c r="X53">
        <f>HYPERLINK("https://klasma.github.io/Logging_2560/kartor_geotiff/A 23136-2024 georefererad karta.tif", "A 23136-2024")</f>
        <v/>
      </c>
      <c r="Z53">
        <f>HYPERLINK("https://klasma.github.io/Logging_2560/klagomål/A 23136-2024 FSC-klagomål.docx", "A 23136-2024")</f>
        <v/>
      </c>
      <c r="AA53">
        <f>HYPERLINK("https://klasma.github.io/Logging_2560/klagomålsmail/A 23136-2024 FSC-klagomål mail.docx", "A 23136-2024")</f>
        <v/>
      </c>
      <c r="AB53">
        <f>HYPERLINK("https://klasma.github.io/Logging_2560/tillsyn/A 23136-2024 tillsynsbegäran.docx", "A 23136-2024")</f>
        <v/>
      </c>
      <c r="AC53">
        <f>HYPERLINK("https://klasma.github.io/Logging_2560/tillsynsmail/A 23136-2024 tillsynsbegäran mail.docx", "A 23136-2024")</f>
        <v/>
      </c>
    </row>
    <row r="54" ht="15" customHeight="1">
      <c r="A54" t="inlineStr">
        <is>
          <t>A 57390-2025</t>
        </is>
      </c>
      <c r="B54" t="inlineStr">
        <is>
          <t>avverkningsanmälan</t>
        </is>
      </c>
      <c r="C54" t="inlineStr">
        <is>
          <t>Föryngringsavverkning</t>
        </is>
      </c>
      <c r="D54" s="1" t="n">
        <v>45980</v>
      </c>
      <c r="E54" s="1" t="n">
        <v>46223</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s="2" t="inlineStr">
        <is>
          <t>Kolflarnlav
Skarp dropptaggsvamp</t>
        </is>
      </c>
      <c r="V54">
        <f>HYPERLINK("https://klasma.github.io/Logging_2560/artfynd/A 57390-2025 artfynd.xlsx", "A 57390-2025")</f>
        <v/>
      </c>
      <c r="W54">
        <f>HYPERLINK("https://klasma.github.io/Logging_2560/kartor/A 57390-2025 karta.png", "A 57390-2025")</f>
        <v/>
      </c>
      <c r="X54">
        <f>HYPERLINK("https://klasma.github.io/Logging_2560/kartor_geotiff/A 57390-2025 georefererad karta.tif", "A 57390-2025")</f>
        <v/>
      </c>
      <c r="Z54">
        <f>HYPERLINK("https://klasma.github.io/Logging_2560/klagomål/A 57390-2025 FSC-klagomål.docx", "A 57390-2025")</f>
        <v/>
      </c>
      <c r="AA54">
        <f>HYPERLINK("https://klasma.github.io/Logging_2560/klagomålsmail/A 57390-2025 FSC-klagomål mail.docx", "A 57390-2025")</f>
        <v/>
      </c>
      <c r="AB54">
        <f>HYPERLINK("https://klasma.github.io/Logging_2560/tillsyn/A 57390-2025 tillsynsbegäran.docx", "A 57390-2025")</f>
        <v/>
      </c>
      <c r="AC54">
        <f>HYPERLINK("https://klasma.github.io/Logging_2560/tillsynsmail/A 57390-2025 tillsynsbegäran mail.docx", "A 57390-2025")</f>
        <v/>
      </c>
    </row>
    <row r="55" ht="15" customHeight="1">
      <c r="A55" t="inlineStr">
        <is>
          <t>A 38727-2025</t>
        </is>
      </c>
      <c r="B55" t="inlineStr">
        <is>
          <t>avverkningsanmälan</t>
        </is>
      </c>
      <c r="C55" t="inlineStr">
        <is>
          <t>Föryngringsavverkning</t>
        </is>
      </c>
      <c r="D55" s="1" t="n">
        <v>45887</v>
      </c>
      <c r="E55" s="1" t="n">
        <v>46223</v>
      </c>
      <c r="F55" t="inlineStr">
        <is>
          <t>NORRBOTTENS LÄN</t>
        </is>
      </c>
      <c r="G55" t="inlineStr">
        <is>
          <t>ÄLVSBYN</t>
        </is>
      </c>
      <c r="H55" t="inlineStr">
        <is>
          <t>Sveaskog</t>
        </is>
      </c>
      <c r="I55" t="n">
        <v>3.6</v>
      </c>
      <c r="J55" t="n">
        <v>2</v>
      </c>
      <c r="K55" t="n">
        <v>0</v>
      </c>
      <c r="L55" t="n">
        <v>0</v>
      </c>
      <c r="M55" t="n">
        <v>1</v>
      </c>
      <c r="N55" t="n">
        <v>0</v>
      </c>
      <c r="O55" t="n">
        <v>0</v>
      </c>
      <c r="P55" t="n">
        <v>0</v>
      </c>
      <c r="Q55" t="n">
        <v>1</v>
      </c>
      <c r="R55" t="n">
        <v>1</v>
      </c>
      <c r="S55" t="n">
        <v>2</v>
      </c>
      <c r="T55" t="n">
        <v>2</v>
      </c>
      <c r="U55" s="2" t="inlineStr">
        <is>
          <t>Knärot
Fläcknycklar</t>
        </is>
      </c>
      <c r="V55">
        <f>HYPERLINK("https://klasma.github.io/Logging_2560/artfynd/A 38727-2025 artfynd.xlsx", "A 38727-2025")</f>
        <v/>
      </c>
      <c r="W55">
        <f>HYPERLINK("https://klasma.github.io/Logging_2560/kartor/A 38727-2025 karta.png", "A 38727-2025")</f>
        <v/>
      </c>
      <c r="X55">
        <f>HYPERLINK("https://klasma.github.io/Logging_2560/kartor_geotiff/A 38727-2025 georefererad karta.tif", "A 38727-2025")</f>
        <v/>
      </c>
      <c r="Y55">
        <f>HYPERLINK("https://klasma.github.io/Logging_2560/knärot/A 38727-2025 karta knärot.png", "A 38727-2025")</f>
        <v/>
      </c>
      <c r="Z55">
        <f>HYPERLINK("https://klasma.github.io/Logging_2560/klagomål/A 38727-2025 FSC-klagomål.docx", "A 38727-2025")</f>
        <v/>
      </c>
      <c r="AA55">
        <f>HYPERLINK("https://klasma.github.io/Logging_2560/klagomålsmail/A 38727-2025 FSC-klagomål mail.docx", "A 38727-2025")</f>
        <v/>
      </c>
      <c r="AB55">
        <f>HYPERLINK("https://klasma.github.io/Logging_2560/tillsyn/A 38727-2025 tillsynsbegäran.docx", "A 38727-2025")</f>
        <v/>
      </c>
      <c r="AC55">
        <f>HYPERLINK("https://klasma.github.io/Logging_2560/tillsynsmail/A 38727-2025 tillsynsbegäran mail.docx", "A 38727-2025")</f>
        <v/>
      </c>
    </row>
    <row r="56" ht="15" customHeight="1">
      <c r="A56" t="inlineStr">
        <is>
          <t>A 44733-2024</t>
        </is>
      </c>
      <c r="B56" t="inlineStr">
        <is>
          <t>avverkningsanmälan</t>
        </is>
      </c>
      <c r="C56" t="inlineStr">
        <is>
          <t>Föryngringsavverkning</t>
        </is>
      </c>
      <c r="D56" s="1" t="n">
        <v>45574</v>
      </c>
      <c r="E56" s="1" t="n">
        <v>46223</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s="2" t="inlineStr">
        <is>
          <t>Doftticka
Rosenticka</t>
        </is>
      </c>
      <c r="V56">
        <f>HYPERLINK("https://klasma.github.io/Logging_2560/artfynd/A 44733-2024 artfynd.xlsx", "A 44733-2024")</f>
        <v/>
      </c>
      <c r="W56">
        <f>HYPERLINK("https://klasma.github.io/Logging_2560/kartor/A 44733-2024 karta.png", "A 44733-2024")</f>
        <v/>
      </c>
      <c r="X56">
        <f>HYPERLINK("https://klasma.github.io/Logging_2560/kartor_geotiff/A 44733-2024 georefererad karta.tif", "A 44733-2024")</f>
        <v/>
      </c>
      <c r="Z56">
        <f>HYPERLINK("https://klasma.github.io/Logging_2560/klagomål/A 44733-2024 FSC-klagomål.docx", "A 44733-2024")</f>
        <v/>
      </c>
      <c r="AA56">
        <f>HYPERLINK("https://klasma.github.io/Logging_2560/klagomålsmail/A 44733-2024 FSC-klagomål mail.docx", "A 44733-2024")</f>
        <v/>
      </c>
      <c r="AB56">
        <f>HYPERLINK("https://klasma.github.io/Logging_2560/tillsyn/A 44733-2024 tillsynsbegäran.docx", "A 44733-2024")</f>
        <v/>
      </c>
      <c r="AC56">
        <f>HYPERLINK("https://klasma.github.io/Logging_2560/tillsynsmail/A 44733-2024 tillsynsbegäran mail.docx", "A 44733-2024")</f>
        <v/>
      </c>
    </row>
    <row r="57" ht="15" customHeight="1">
      <c r="A57" t="inlineStr">
        <is>
          <t>A 28121-2026</t>
        </is>
      </c>
      <c r="B57" t="inlineStr">
        <is>
          <t>avverkningsanmälan</t>
        </is>
      </c>
      <c r="C57" t="inlineStr">
        <is>
          <t>Föryngringsavverkning</t>
        </is>
      </c>
      <c r="D57" s="1" t="n">
        <v>46195</v>
      </c>
      <c r="E57" s="1" t="n">
        <v>46223</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s="2" t="inlineStr">
        <is>
          <t>Orange taggsvamp
Skarp dropptaggsvamp</t>
        </is>
      </c>
      <c r="V57">
        <f>HYPERLINK("https://klasma.github.io/Logging_2560/artfynd/A 28121-2026 artfynd.xlsx", "A 28121-2026")</f>
        <v/>
      </c>
      <c r="W57">
        <f>HYPERLINK("https://klasma.github.io/Logging_2560/kartor/A 28121-2026 karta.png", "A 28121-2026")</f>
        <v/>
      </c>
      <c r="X57">
        <f>HYPERLINK("https://klasma.github.io/Logging_2560/kartor_geotiff/A 28121-2026 georefererad karta.tif", "A 28121-2026")</f>
        <v/>
      </c>
      <c r="Z57">
        <f>HYPERLINK("https://klasma.github.io/Logging_2560/klagomål/A 28121-2026 FSC-klagomål.docx", "A 28121-2026")</f>
        <v/>
      </c>
      <c r="AA57">
        <f>HYPERLINK("https://klasma.github.io/Logging_2560/klagomålsmail/A 28121-2026 FSC-klagomål mail.docx", "A 28121-2026")</f>
        <v/>
      </c>
      <c r="AB57">
        <f>HYPERLINK("https://klasma.github.io/Logging_2560/tillsyn/A 28121-2026 tillsynsbegäran.docx", "A 28121-2026")</f>
        <v/>
      </c>
      <c r="AC57">
        <f>HYPERLINK("https://klasma.github.io/Logging_2560/tillsynsmail/A 28121-2026 tillsynsbegäran mail.docx", "A 28121-2026")</f>
        <v/>
      </c>
    </row>
    <row r="58" ht="15" customHeight="1">
      <c r="A58" t="inlineStr">
        <is>
          <t>A 55038-2024</t>
        </is>
      </c>
      <c r="B58" t="inlineStr">
        <is>
          <t>avverkningsanmälan</t>
        </is>
      </c>
      <c r="C58" t="inlineStr">
        <is>
          <t>Föryngringsavverkning</t>
        </is>
      </c>
      <c r="D58" s="1" t="n">
        <v>45621</v>
      </c>
      <c r="E58" s="1" t="n">
        <v>46223</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s="2" t="inlineStr">
        <is>
          <t>Lunglav
Stuplav</t>
        </is>
      </c>
      <c r="V58">
        <f>HYPERLINK("https://klasma.github.io/Logging_2560/artfynd/A 55038-2024 artfynd.xlsx", "A 55038-2024")</f>
        <v/>
      </c>
      <c r="W58">
        <f>HYPERLINK("https://klasma.github.io/Logging_2560/kartor/A 55038-2024 karta.png", "A 55038-2024")</f>
        <v/>
      </c>
      <c r="X58">
        <f>HYPERLINK("https://klasma.github.io/Logging_2560/kartor_geotiff/A 55038-2024 georefererad karta.tif", "A 55038-2024")</f>
        <v/>
      </c>
      <c r="Z58">
        <f>HYPERLINK("https://klasma.github.io/Logging_2560/klagomål/A 55038-2024 FSC-klagomål.docx", "A 55038-2024")</f>
        <v/>
      </c>
      <c r="AA58">
        <f>HYPERLINK("https://klasma.github.io/Logging_2560/klagomålsmail/A 55038-2024 FSC-klagomål mail.docx", "A 55038-2024")</f>
        <v/>
      </c>
      <c r="AB58">
        <f>HYPERLINK("https://klasma.github.io/Logging_2560/tillsyn/A 55038-2024 tillsynsbegäran.docx", "A 55038-2024")</f>
        <v/>
      </c>
      <c r="AC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46223</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s="2" t="inlineStr">
        <is>
          <t>Lunglav
Bollvitmossa</t>
        </is>
      </c>
      <c r="V59">
        <f>HYPERLINK("https://klasma.github.io/Logging_2560/artfynd/A 23808-2026 artfynd.xlsx", "A 23808-2026")</f>
        <v/>
      </c>
      <c r="W59">
        <f>HYPERLINK("https://klasma.github.io/Logging_2560/kartor/A 23808-2026 karta.png", "A 23808-2026")</f>
        <v/>
      </c>
      <c r="X59">
        <f>HYPERLINK("https://klasma.github.io/Logging_2560/kartor_geotiff/A 23808-2026 georefererad karta.tif", "A 23808-2026")</f>
        <v/>
      </c>
      <c r="Z59">
        <f>HYPERLINK("https://klasma.github.io/Logging_2560/klagomål/A 23808-2026 FSC-klagomål.docx", "A 23808-2026")</f>
        <v/>
      </c>
      <c r="AA59">
        <f>HYPERLINK("https://klasma.github.io/Logging_2560/klagomålsmail/A 23808-2026 FSC-klagomål mail.docx", "A 23808-2026")</f>
        <v/>
      </c>
      <c r="AB59">
        <f>HYPERLINK("https://klasma.github.io/Logging_2560/tillsyn/A 23808-2026 tillsynsbegäran.docx", "A 23808-2026")</f>
        <v/>
      </c>
      <c r="AC59">
        <f>HYPERLINK("https://klasma.github.io/Logging_2560/tillsynsmail/A 23808-2026 tillsynsbegäran mail.docx", "A 23808-2026")</f>
        <v/>
      </c>
    </row>
    <row r="60" ht="15" customHeight="1">
      <c r="A60" t="inlineStr">
        <is>
          <t>A 32818-2024</t>
        </is>
      </c>
      <c r="B60" t="inlineStr">
        <is>
          <t>avverkningsanmälan</t>
        </is>
      </c>
      <c r="C60" t="inlineStr">
        <is>
          <t>Föryngringsavverkning</t>
        </is>
      </c>
      <c r="D60" s="1" t="n">
        <v>45516</v>
      </c>
      <c r="E60" s="1" t="n">
        <v>46223</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s="2" t="inlineStr">
        <is>
          <t>Lunglav
Stuplav</t>
        </is>
      </c>
      <c r="V60">
        <f>HYPERLINK("https://klasma.github.io/Logging_2560/artfynd/A 32818-2024 artfynd.xlsx", "A 32818-2024")</f>
        <v/>
      </c>
      <c r="W60">
        <f>HYPERLINK("https://klasma.github.io/Logging_2560/kartor/A 32818-2024 karta.png", "A 32818-2024")</f>
        <v/>
      </c>
      <c r="X60">
        <f>HYPERLINK("https://klasma.github.io/Logging_2560/kartor_geotiff/A 32818-2024 georefererad karta.tif", "A 32818-2024")</f>
        <v/>
      </c>
      <c r="Z60">
        <f>HYPERLINK("https://klasma.github.io/Logging_2560/klagomål/A 32818-2024 FSC-klagomål.docx", "A 32818-2024")</f>
        <v/>
      </c>
      <c r="AA60">
        <f>HYPERLINK("https://klasma.github.io/Logging_2560/klagomålsmail/A 32818-2024 FSC-klagomål mail.docx", "A 32818-2024")</f>
        <v/>
      </c>
      <c r="AB60">
        <f>HYPERLINK("https://klasma.github.io/Logging_2560/tillsyn/A 32818-2024 tillsynsbegäran.docx", "A 32818-2024")</f>
        <v/>
      </c>
      <c r="AC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46223</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s="2" t="inlineStr">
        <is>
          <t>Gammelgransskål
Lappranunkel</t>
        </is>
      </c>
      <c r="V61">
        <f>HYPERLINK("https://klasma.github.io/Logging_2560/artfynd/A 16255-2024 artfynd.xlsx", "A 16255-2024")</f>
        <v/>
      </c>
      <c r="W61">
        <f>HYPERLINK("https://klasma.github.io/Logging_2560/kartor/A 16255-2024 karta.png", "A 16255-2024")</f>
        <v/>
      </c>
      <c r="X61">
        <f>HYPERLINK("https://klasma.github.io/Logging_2560/kartor_geotiff/A 16255-2024 georefererad karta.tif", "A 16255-2024")</f>
        <v/>
      </c>
      <c r="Z61">
        <f>HYPERLINK("https://klasma.github.io/Logging_2560/klagomål/A 16255-2024 FSC-klagomål.docx", "A 16255-2024")</f>
        <v/>
      </c>
      <c r="AA61">
        <f>HYPERLINK("https://klasma.github.io/Logging_2560/klagomålsmail/A 16255-2024 FSC-klagomål mail.docx", "A 16255-2024")</f>
        <v/>
      </c>
      <c r="AB61">
        <f>HYPERLINK("https://klasma.github.io/Logging_2560/tillsyn/A 16255-2024 tillsynsbegäran.docx", "A 16255-2024")</f>
        <v/>
      </c>
      <c r="AC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46223</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X62">
        <f>HYPERLINK("https://klasma.github.io/Logging_2560/kartor_geotiff/S 1233-2023 georefererad karta.tif", "S 1233-2023")</f>
        <v/>
      </c>
      <c r="Z62">
        <f>HYPERLINK("https://klasma.github.io/Logging_2560/klagomål/S 1233-2023 FSC-klagomål.docx", "S 1233-2023")</f>
        <v/>
      </c>
      <c r="AA62">
        <f>HYPERLINK("https://klasma.github.io/Logging_2560/klagomålsmail/S 1233-2023 FSC-klagomål mail.docx", "S 1233-2023")</f>
        <v/>
      </c>
      <c r="AB62">
        <f>HYPERLINK("https://klasma.github.io/Logging_2560/tillsyn/S 1233-2023 tillsynsbegäran.docx", "S 1233-2023")</f>
        <v/>
      </c>
      <c r="AC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46223</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X63">
        <f>HYPERLINK("https://klasma.github.io/Logging_2560/kartor_geotiff/A 38620-2022 georefererad karta.tif", "A 38620-2022")</f>
        <v/>
      </c>
      <c r="Z63">
        <f>HYPERLINK("https://klasma.github.io/Logging_2560/klagomål/A 38620-2022 FSC-klagomål.docx", "A 38620-2022")</f>
        <v/>
      </c>
      <c r="AA63">
        <f>HYPERLINK("https://klasma.github.io/Logging_2560/klagomålsmail/A 38620-2022 FSC-klagomål mail.docx", "A 38620-2022")</f>
        <v/>
      </c>
      <c r="AB63">
        <f>HYPERLINK("https://klasma.github.io/Logging_2560/tillsyn/A 38620-2022 tillsynsbegäran.docx", "A 38620-2022")</f>
        <v/>
      </c>
      <c r="AC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46223</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X64">
        <f>HYPERLINK("https://klasma.github.io/Logging_2560/kartor_geotiff/A 16470-2022 georefererad karta.tif", "A 16470-2022")</f>
        <v/>
      </c>
      <c r="Z64">
        <f>HYPERLINK("https://klasma.github.io/Logging_2560/klagomål/A 16470-2022 FSC-klagomål.docx", "A 16470-2022")</f>
        <v/>
      </c>
      <c r="AA64">
        <f>HYPERLINK("https://klasma.github.io/Logging_2560/klagomålsmail/A 16470-2022 FSC-klagomål mail.docx", "A 16470-2022")</f>
        <v/>
      </c>
      <c r="AB64">
        <f>HYPERLINK("https://klasma.github.io/Logging_2560/tillsyn/A 16470-2022 tillsynsbegäran.docx", "A 16470-2022")</f>
        <v/>
      </c>
      <c r="AC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46223</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X65">
        <f>HYPERLINK("https://klasma.github.io/Logging_2560/kartor_geotiff/A 58201-2021 georefererad karta.tif", "A 58201-2021")</f>
        <v/>
      </c>
      <c r="Z65">
        <f>HYPERLINK("https://klasma.github.io/Logging_2560/klagomål/A 58201-2021 FSC-klagomål.docx", "A 58201-2021")</f>
        <v/>
      </c>
      <c r="AA65">
        <f>HYPERLINK("https://klasma.github.io/Logging_2560/klagomålsmail/A 58201-2021 FSC-klagomål mail.docx", "A 58201-2021")</f>
        <v/>
      </c>
      <c r="AB65">
        <f>HYPERLINK("https://klasma.github.io/Logging_2560/tillsyn/A 58201-2021 tillsynsbegäran.docx", "A 58201-2021")</f>
        <v/>
      </c>
      <c r="AC65">
        <f>HYPERLINK("https://klasma.github.io/Logging_2560/tillsynsmail/A 58201-2021 tillsynsbegäran mail.docx", "A 58201-2021")</f>
        <v/>
      </c>
      <c r="AD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46223</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s="2" t="inlineStr">
        <is>
          <t>Tretåig hackspett</t>
        </is>
      </c>
      <c r="V66">
        <f>HYPERLINK("https://klasma.github.io/Logging_2560/artfynd/A 33234-2025 artfynd.xlsx", "A 33234-2025")</f>
        <v/>
      </c>
      <c r="W66">
        <f>HYPERLINK("https://klasma.github.io/Logging_2560/kartor/A 33234-2025 karta.png", "A 33234-2025")</f>
        <v/>
      </c>
      <c r="X66">
        <f>HYPERLINK("https://klasma.github.io/Logging_2560/kartor_geotiff/A 33234-2025 georefererad karta.tif", "A 33234-2025")</f>
        <v/>
      </c>
      <c r="Z66">
        <f>HYPERLINK("https://klasma.github.io/Logging_2560/klagomål/A 33234-2025 FSC-klagomål.docx", "A 33234-2025")</f>
        <v/>
      </c>
      <c r="AA66">
        <f>HYPERLINK("https://klasma.github.io/Logging_2560/klagomålsmail/A 33234-2025 FSC-klagomål mail.docx", "A 33234-2025")</f>
        <v/>
      </c>
      <c r="AB66">
        <f>HYPERLINK("https://klasma.github.io/Logging_2560/tillsyn/A 33234-2025 tillsynsbegäran.docx", "A 33234-2025")</f>
        <v/>
      </c>
      <c r="AC66">
        <f>HYPERLINK("https://klasma.github.io/Logging_2560/tillsynsmail/A 33234-2025 tillsynsbegäran mail.docx", "A 33234-2025")</f>
        <v/>
      </c>
      <c r="AD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46223</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X67">
        <f>HYPERLINK("https://klasma.github.io/Logging_2560/kartor_geotiff/A 45384-2025 georefererad karta.tif", "A 45384-2025")</f>
        <v/>
      </c>
      <c r="Z67">
        <f>HYPERLINK("https://klasma.github.io/Logging_2560/klagomål/A 45384-2025 FSC-klagomål.docx", "A 45384-2025")</f>
        <v/>
      </c>
      <c r="AA67">
        <f>HYPERLINK("https://klasma.github.io/Logging_2560/klagomålsmail/A 45384-2025 FSC-klagomål mail.docx", "A 45384-2025")</f>
        <v/>
      </c>
      <c r="AB67">
        <f>HYPERLINK("https://klasma.github.io/Logging_2560/tillsyn/A 45384-2025 tillsynsbegäran.docx", "A 45384-2025")</f>
        <v/>
      </c>
      <c r="AC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46223</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s="2" t="inlineStr">
        <is>
          <t>Dropptaggsvamp</t>
        </is>
      </c>
      <c r="V68">
        <f>HYPERLINK("https://klasma.github.io/Logging_2560/artfynd/A 34544-2025 artfynd.xlsx", "A 34544-2025")</f>
        <v/>
      </c>
      <c r="W68">
        <f>HYPERLINK("https://klasma.github.io/Logging_2560/kartor/A 34544-2025 karta.png", "A 34544-2025")</f>
        <v/>
      </c>
      <c r="X68">
        <f>HYPERLINK("https://klasma.github.io/Logging_2560/kartor_geotiff/A 34544-2025 georefererad karta.tif", "A 34544-2025")</f>
        <v/>
      </c>
      <c r="Z68">
        <f>HYPERLINK("https://klasma.github.io/Logging_2560/klagomål/A 34544-2025 FSC-klagomål.docx", "A 34544-2025")</f>
        <v/>
      </c>
      <c r="AA68">
        <f>HYPERLINK("https://klasma.github.io/Logging_2560/klagomålsmail/A 34544-2025 FSC-klagomål mail.docx", "A 34544-2025")</f>
        <v/>
      </c>
      <c r="AB68">
        <f>HYPERLINK("https://klasma.github.io/Logging_2560/tillsyn/A 34544-2025 tillsynsbegäran.docx", "A 34544-2025")</f>
        <v/>
      </c>
      <c r="AC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46223</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s="2" t="inlineStr">
        <is>
          <t>Vedticka</t>
        </is>
      </c>
      <c r="V69">
        <f>HYPERLINK("https://klasma.github.io/Logging_2560/artfynd/A 42505-2024 artfynd.xlsx", "A 42505-2024")</f>
        <v/>
      </c>
      <c r="W69">
        <f>HYPERLINK("https://klasma.github.io/Logging_2560/kartor/A 42505-2024 karta.png", "A 42505-2024")</f>
        <v/>
      </c>
      <c r="X69">
        <f>HYPERLINK("https://klasma.github.io/Logging_2560/kartor_geotiff/A 42505-2024 georefererad karta.tif", "A 42505-2024")</f>
        <v/>
      </c>
      <c r="Z69">
        <f>HYPERLINK("https://klasma.github.io/Logging_2560/klagomål/A 42505-2024 FSC-klagomål.docx", "A 42505-2024")</f>
        <v/>
      </c>
      <c r="AA69">
        <f>HYPERLINK("https://klasma.github.io/Logging_2560/klagomålsmail/A 42505-2024 FSC-klagomål mail.docx", "A 42505-2024")</f>
        <v/>
      </c>
      <c r="AB69">
        <f>HYPERLINK("https://klasma.github.io/Logging_2560/tillsyn/A 42505-2024 tillsynsbegäran.docx", "A 42505-2024")</f>
        <v/>
      </c>
      <c r="AC69">
        <f>HYPERLINK("https://klasma.github.io/Logging_2560/tillsynsmail/A 42505-2024 tillsynsbegäran mail.docx", "A 42505-2024")</f>
        <v/>
      </c>
    </row>
    <row r="70" ht="15" customHeight="1">
      <c r="A70" t="inlineStr">
        <is>
          <t>A 55788-2024</t>
        </is>
      </c>
      <c r="B70" t="inlineStr">
        <is>
          <t>avverkningsanmälan</t>
        </is>
      </c>
      <c r="C70" t="inlineStr">
        <is>
          <t>Föryngringsavverkning</t>
        </is>
      </c>
      <c r="D70" s="1" t="n">
        <v>45623</v>
      </c>
      <c r="E70" s="1" t="n">
        <v>46223</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s="2" t="inlineStr">
        <is>
          <t>Orange taggsvamp</t>
        </is>
      </c>
      <c r="V70">
        <f>HYPERLINK("https://klasma.github.io/Logging_2560/artfynd/A 55788-2024 artfynd.xlsx", "A 55788-2024")</f>
        <v/>
      </c>
      <c r="W70">
        <f>HYPERLINK("https://klasma.github.io/Logging_2560/kartor/A 55788-2024 karta.png", "A 55788-2024")</f>
        <v/>
      </c>
      <c r="X70">
        <f>HYPERLINK("https://klasma.github.io/Logging_2560/kartor_geotiff/A 55788-2024 georefererad karta.tif", "A 55788-2024")</f>
        <v/>
      </c>
      <c r="Z70">
        <f>HYPERLINK("https://klasma.github.io/Logging_2560/klagomål/A 55788-2024 FSC-klagomål.docx", "A 55788-2024")</f>
        <v/>
      </c>
      <c r="AA70">
        <f>HYPERLINK("https://klasma.github.io/Logging_2560/klagomålsmail/A 55788-2024 FSC-klagomål mail.docx", "A 55788-2024")</f>
        <v/>
      </c>
      <c r="AB70">
        <f>HYPERLINK("https://klasma.github.io/Logging_2560/tillsyn/A 55788-2024 tillsynsbegäran.docx", "A 55788-2024")</f>
        <v/>
      </c>
      <c r="AC70">
        <f>HYPERLINK("https://klasma.github.io/Logging_2560/tillsynsmail/A 55788-2024 tillsynsbegäran mail.docx", "A 55788-2024")</f>
        <v/>
      </c>
    </row>
    <row r="71" ht="15" customHeight="1">
      <c r="A71" t="inlineStr">
        <is>
          <t>A 49395-2025</t>
        </is>
      </c>
      <c r="B71" t="inlineStr">
        <is>
          <t>avverkningsanmälan</t>
        </is>
      </c>
      <c r="C71" t="inlineStr">
        <is>
          <t>Avverkning för annat ändamål</t>
        </is>
      </c>
      <c r="D71" s="1" t="n">
        <v>45938</v>
      </c>
      <c r="E71" s="1" t="n">
        <v>46223</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s="2" t="inlineStr">
        <is>
          <t>Dropptaggsvamp</t>
        </is>
      </c>
      <c r="V71">
        <f>HYPERLINK("https://klasma.github.io/Logging_2560/artfynd/A 49395-2025 artfynd.xlsx", "A 49395-2025")</f>
        <v/>
      </c>
      <c r="W71">
        <f>HYPERLINK("https://klasma.github.io/Logging_2560/kartor/A 49395-2025 karta.png", "A 49395-2025")</f>
        <v/>
      </c>
      <c r="X71">
        <f>HYPERLINK("https://klasma.github.io/Logging_2560/kartor_geotiff/A 49395-2025 georefererad karta.tif", "A 49395-2025")</f>
        <v/>
      </c>
      <c r="Z71">
        <f>HYPERLINK("https://klasma.github.io/Logging_2560/klagomål/A 49395-2025 FSC-klagomål.docx", "A 49395-2025")</f>
        <v/>
      </c>
      <c r="AA71">
        <f>HYPERLINK("https://klasma.github.io/Logging_2560/klagomålsmail/A 49395-2025 FSC-klagomål mail.docx", "A 49395-2025")</f>
        <v/>
      </c>
      <c r="AB71">
        <f>HYPERLINK("https://klasma.github.io/Logging_2560/tillsyn/A 49395-2025 tillsynsbegäran.docx", "A 49395-2025")</f>
        <v/>
      </c>
      <c r="AC71">
        <f>HYPERLINK("https://klasma.github.io/Logging_2560/tillsynsmail/A 49395-2025 tillsynsbegäran mail.docx", "A 49395-2025")</f>
        <v/>
      </c>
    </row>
    <row r="72" ht="15" customHeight="1">
      <c r="A72" t="inlineStr">
        <is>
          <t>A 57140-2024</t>
        </is>
      </c>
      <c r="B72" t="inlineStr">
        <is>
          <t>avverkningsanmälan</t>
        </is>
      </c>
      <c r="C72" t="inlineStr">
        <is>
          <t>Föryngringsavverkning</t>
        </is>
      </c>
      <c r="D72" s="1" t="n">
        <v>45629</v>
      </c>
      <c r="E72" s="1" t="n">
        <v>46223</v>
      </c>
      <c r="F72" t="inlineStr">
        <is>
          <t>NORRBOTTENS LÄN</t>
        </is>
      </c>
      <c r="G72" t="inlineStr">
        <is>
          <t>ÄLVSBYN</t>
        </is>
      </c>
      <c r="I72" t="n">
        <v>2.6</v>
      </c>
      <c r="J72" t="n">
        <v>1</v>
      </c>
      <c r="K72" t="n">
        <v>0</v>
      </c>
      <c r="L72" t="n">
        <v>0</v>
      </c>
      <c r="M72" t="n">
        <v>0</v>
      </c>
      <c r="N72" t="n">
        <v>0</v>
      </c>
      <c r="O72" t="n">
        <v>0</v>
      </c>
      <c r="P72" t="n">
        <v>0</v>
      </c>
      <c r="Q72" t="n">
        <v>0</v>
      </c>
      <c r="R72" t="n">
        <v>0</v>
      </c>
      <c r="S72" t="n">
        <v>1</v>
      </c>
      <c r="T72" t="n">
        <v>1</v>
      </c>
      <c r="U72" s="2" t="inlineStr">
        <is>
          <t>Fläcknycklar</t>
        </is>
      </c>
      <c r="V72">
        <f>HYPERLINK("https://klasma.github.io/Logging_2560/artfynd/A 57140-2024 artfynd.xlsx", "A 57140-2024")</f>
        <v/>
      </c>
      <c r="W72">
        <f>HYPERLINK("https://klasma.github.io/Logging_2560/kartor/A 57140-2024 karta.png", "A 57140-2024")</f>
        <v/>
      </c>
      <c r="X72">
        <f>HYPERLINK("https://klasma.github.io/Logging_2560/kartor_geotiff/A 57140-2024 georefererad karta.tif", "A 57140-2024")</f>
        <v/>
      </c>
      <c r="Z72">
        <f>HYPERLINK("https://klasma.github.io/Logging_2560/klagomål/A 57140-2024 FSC-klagomål.docx", "A 57140-2024")</f>
        <v/>
      </c>
      <c r="AA72">
        <f>HYPERLINK("https://klasma.github.io/Logging_2560/klagomålsmail/A 57140-2024 FSC-klagomål mail.docx", "A 57140-2024")</f>
        <v/>
      </c>
      <c r="AB72">
        <f>HYPERLINK("https://klasma.github.io/Logging_2560/tillsyn/A 57140-2024 tillsynsbegäran.docx", "A 57140-2024")</f>
        <v/>
      </c>
      <c r="AC72">
        <f>HYPERLINK("https://klasma.github.io/Logging_2560/tillsynsmail/A 57140-2024 tillsynsbegäran mail.docx", "A 57140-2024")</f>
        <v/>
      </c>
    </row>
    <row r="73" ht="15" customHeight="1">
      <c r="A73" t="inlineStr">
        <is>
          <t>A 50429-2025</t>
        </is>
      </c>
      <c r="B73" t="inlineStr">
        <is>
          <t>avverkningsanmälan</t>
        </is>
      </c>
      <c r="C73" t="inlineStr">
        <is>
          <t>Föryngringsavverkning</t>
        </is>
      </c>
      <c r="D73" s="1" t="n">
        <v>45944</v>
      </c>
      <c r="E73" s="1" t="n">
        <v>46223</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s="2" t="inlineStr">
        <is>
          <t>Dvärgbägarlav</t>
        </is>
      </c>
      <c r="V73">
        <f>HYPERLINK("https://klasma.github.io/Logging_2560/artfynd/A 50429-2025 artfynd.xlsx", "A 50429-2025")</f>
        <v/>
      </c>
      <c r="W73">
        <f>HYPERLINK("https://klasma.github.io/Logging_2560/kartor/A 50429-2025 karta.png", "A 50429-2025")</f>
        <v/>
      </c>
      <c r="X73">
        <f>HYPERLINK("https://klasma.github.io/Logging_2560/kartor_geotiff/A 50429-2025 georefererad karta.tif", "A 50429-2025")</f>
        <v/>
      </c>
      <c r="Z73">
        <f>HYPERLINK("https://klasma.github.io/Logging_2560/klagomål/A 50429-2025 FSC-klagomål.docx", "A 50429-2025")</f>
        <v/>
      </c>
      <c r="AA73">
        <f>HYPERLINK("https://klasma.github.io/Logging_2560/klagomålsmail/A 50429-2025 FSC-klagomål mail.docx", "A 50429-2025")</f>
        <v/>
      </c>
      <c r="AB73">
        <f>HYPERLINK("https://klasma.github.io/Logging_2560/tillsyn/A 50429-2025 tillsynsbegäran.docx", "A 50429-2025")</f>
        <v/>
      </c>
      <c r="AC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46223</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s="2" t="inlineStr">
        <is>
          <t>Lunglav</t>
        </is>
      </c>
      <c r="V74">
        <f>HYPERLINK("https://klasma.github.io/Logging_2560/artfynd/A 52159-2025 artfynd.xlsx", "A 52159-2025")</f>
        <v/>
      </c>
      <c r="W74">
        <f>HYPERLINK("https://klasma.github.io/Logging_2560/kartor/A 52159-2025 karta.png", "A 52159-2025")</f>
        <v/>
      </c>
      <c r="X74">
        <f>HYPERLINK("https://klasma.github.io/Logging_2560/kartor_geotiff/A 52159-2025 georefererad karta.tif", "A 52159-2025")</f>
        <v/>
      </c>
      <c r="Z74">
        <f>HYPERLINK("https://klasma.github.io/Logging_2560/klagomål/A 52159-2025 FSC-klagomål.docx", "A 52159-2025")</f>
        <v/>
      </c>
      <c r="AA74">
        <f>HYPERLINK("https://klasma.github.io/Logging_2560/klagomålsmail/A 52159-2025 FSC-klagomål mail.docx", "A 52159-2025")</f>
        <v/>
      </c>
      <c r="AB74">
        <f>HYPERLINK("https://klasma.github.io/Logging_2560/tillsyn/A 52159-2025 tillsynsbegäran.docx", "A 52159-2025")</f>
        <v/>
      </c>
      <c r="AC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46223</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s="2" t="inlineStr">
        <is>
          <t>Garnlav</t>
        </is>
      </c>
      <c r="V75">
        <f>HYPERLINK("https://klasma.github.io/Logging_2560/artfynd/A 52885-2025 artfynd.xlsx", "A 52885-2025")</f>
        <v/>
      </c>
      <c r="W75">
        <f>HYPERLINK("https://klasma.github.io/Logging_2560/kartor/A 52885-2025 karta.png", "A 52885-2025")</f>
        <v/>
      </c>
      <c r="X75">
        <f>HYPERLINK("https://klasma.github.io/Logging_2560/kartor_geotiff/A 52885-2025 georefererad karta.tif", "A 52885-2025")</f>
        <v/>
      </c>
      <c r="Z75">
        <f>HYPERLINK("https://klasma.github.io/Logging_2560/klagomål/A 52885-2025 FSC-klagomål.docx", "A 52885-2025")</f>
        <v/>
      </c>
      <c r="AA75">
        <f>HYPERLINK("https://klasma.github.io/Logging_2560/klagomålsmail/A 52885-2025 FSC-klagomål mail.docx", "A 52885-2025")</f>
        <v/>
      </c>
      <c r="AB75">
        <f>HYPERLINK("https://klasma.github.io/Logging_2560/tillsyn/A 52885-2025 tillsynsbegäran.docx", "A 52885-2025")</f>
        <v/>
      </c>
      <c r="AC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46223</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s="2" t="inlineStr">
        <is>
          <t>Plattlummer</t>
        </is>
      </c>
      <c r="V76">
        <f>HYPERLINK("https://klasma.github.io/Logging_2560/artfynd/A 53624-2025 artfynd.xlsx", "A 53624-2025")</f>
        <v/>
      </c>
      <c r="W76">
        <f>HYPERLINK("https://klasma.github.io/Logging_2560/kartor/A 53624-2025 karta.png", "A 53624-2025")</f>
        <v/>
      </c>
      <c r="X76">
        <f>HYPERLINK("https://klasma.github.io/Logging_2560/kartor_geotiff/A 53624-2025 georefererad karta.tif", "A 53624-2025")</f>
        <v/>
      </c>
      <c r="Z76">
        <f>HYPERLINK("https://klasma.github.io/Logging_2560/klagomål/A 53624-2025 FSC-klagomål.docx", "A 53624-2025")</f>
        <v/>
      </c>
      <c r="AA76">
        <f>HYPERLINK("https://klasma.github.io/Logging_2560/klagomålsmail/A 53624-2025 FSC-klagomål mail.docx", "A 53624-2025")</f>
        <v/>
      </c>
      <c r="AB76">
        <f>HYPERLINK("https://klasma.github.io/Logging_2560/tillsyn/A 53624-2025 tillsynsbegäran.docx", "A 53624-2025")</f>
        <v/>
      </c>
      <c r="AC76">
        <f>HYPERLINK("https://klasma.github.io/Logging_2560/tillsynsmail/A 53624-2025 tillsynsbegäran mail.docx", "A 53624-2025")</f>
        <v/>
      </c>
    </row>
    <row r="77" ht="15" customHeight="1">
      <c r="A77" t="inlineStr">
        <is>
          <t>A 43005-2021</t>
        </is>
      </c>
      <c r="B77" t="inlineStr">
        <is>
          <t>avverkningsanmälan</t>
        </is>
      </c>
      <c r="C77" t="inlineStr">
        <is>
          <t>Föryngringsavverkning</t>
        </is>
      </c>
      <c r="D77" s="1" t="n">
        <v>44431</v>
      </c>
      <c r="E77" s="1" t="n">
        <v>46223</v>
      </c>
      <c r="F77" t="inlineStr">
        <is>
          <t>NORRBOTTENS LÄN</t>
        </is>
      </c>
      <c r="G77" t="inlineStr">
        <is>
          <t>ÄLVSBYN</t>
        </is>
      </c>
      <c r="I77" t="n">
        <v>5.5</v>
      </c>
      <c r="J77" t="n">
        <v>0</v>
      </c>
      <c r="K77" t="n">
        <v>0</v>
      </c>
      <c r="L77" t="n">
        <v>1</v>
      </c>
      <c r="M77" t="n">
        <v>0</v>
      </c>
      <c r="N77" t="n">
        <v>0</v>
      </c>
      <c r="O77" t="n">
        <v>0</v>
      </c>
      <c r="P77" t="n">
        <v>0</v>
      </c>
      <c r="Q77" t="n">
        <v>1</v>
      </c>
      <c r="R77" t="n">
        <v>0</v>
      </c>
      <c r="S77" t="n">
        <v>1</v>
      </c>
      <c r="T77" t="n">
        <v>1</v>
      </c>
      <c r="U77" s="2" t="inlineStr">
        <is>
          <t>Tallticka</t>
        </is>
      </c>
      <c r="V77">
        <f>HYPERLINK("https://klasma.github.io/Logging_2560/artfynd/A 43005-2021 artfynd.xlsx", "A 43005-2021")</f>
        <v/>
      </c>
      <c r="W77">
        <f>HYPERLINK("https://klasma.github.io/Logging_2560/kartor/A 43005-2021 karta.png", "A 43005-2021")</f>
        <v/>
      </c>
      <c r="X77">
        <f>HYPERLINK("https://klasma.github.io/Logging_2560/kartor_geotiff/A 43005-2021 georefererad karta.tif", "A 43005-2021")</f>
        <v/>
      </c>
      <c r="Z77">
        <f>HYPERLINK("https://klasma.github.io/Logging_2560/klagomål/A 43005-2021 FSC-klagomål.docx", "A 43005-2021")</f>
        <v/>
      </c>
      <c r="AA77">
        <f>HYPERLINK("https://klasma.github.io/Logging_2560/klagomålsmail/A 43005-2021 FSC-klagomål mail.docx", "A 43005-2021")</f>
        <v/>
      </c>
      <c r="AB77">
        <f>HYPERLINK("https://klasma.github.io/Logging_2560/tillsyn/A 43005-2021 tillsynsbegäran.docx", "A 43005-2021")</f>
        <v/>
      </c>
      <c r="AC77">
        <f>HYPERLINK("https://klasma.github.io/Logging_2560/tillsynsmail/A 43005-2021 tillsynsbegäran mail.docx", "A 43005-2021")</f>
        <v/>
      </c>
    </row>
    <row r="78" ht="15" customHeight="1">
      <c r="A78" t="inlineStr">
        <is>
          <t>A 59320-2025</t>
        </is>
      </c>
      <c r="B78" t="inlineStr">
        <is>
          <t>avverkningsanmälan</t>
        </is>
      </c>
      <c r="C78" t="inlineStr">
        <is>
          <t>Föryngringsavverkning</t>
        </is>
      </c>
      <c r="D78" s="1" t="n">
        <v>45989</v>
      </c>
      <c r="E78" s="1" t="n">
        <v>46223</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s="2" t="inlineStr">
        <is>
          <t>Skarp dropptaggsvamp</t>
        </is>
      </c>
      <c r="V78">
        <f>HYPERLINK("https://klasma.github.io/Logging_2560/artfynd/A 59320-2025 artfynd.xlsx", "A 59320-2025")</f>
        <v/>
      </c>
      <c r="W78">
        <f>HYPERLINK("https://klasma.github.io/Logging_2560/kartor/A 59320-2025 karta.png", "A 59320-2025")</f>
        <v/>
      </c>
      <c r="X78">
        <f>HYPERLINK("https://klasma.github.io/Logging_2560/kartor_geotiff/A 59320-2025 georefererad karta.tif", "A 59320-2025")</f>
        <v/>
      </c>
      <c r="Z78">
        <f>HYPERLINK("https://klasma.github.io/Logging_2560/klagomål/A 59320-2025 FSC-klagomål.docx", "A 59320-2025")</f>
        <v/>
      </c>
      <c r="AA78">
        <f>HYPERLINK("https://klasma.github.io/Logging_2560/klagomålsmail/A 59320-2025 FSC-klagomål mail.docx", "A 59320-2025")</f>
        <v/>
      </c>
      <c r="AB78">
        <f>HYPERLINK("https://klasma.github.io/Logging_2560/tillsyn/A 59320-2025 tillsynsbegäran.docx", "A 59320-2025")</f>
        <v/>
      </c>
      <c r="AC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46223</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s="2" t="inlineStr">
        <is>
          <t>Motaggsvamp</t>
        </is>
      </c>
      <c r="V79">
        <f>HYPERLINK("https://klasma.github.io/Logging_2560/artfynd/A 60016-2025 artfynd.xlsx", "A 60016-2025")</f>
        <v/>
      </c>
      <c r="W79">
        <f>HYPERLINK("https://klasma.github.io/Logging_2560/kartor/A 60016-2025 karta.png", "A 60016-2025")</f>
        <v/>
      </c>
      <c r="X79">
        <f>HYPERLINK("https://klasma.github.io/Logging_2560/kartor_geotiff/A 60016-2025 georefererad karta.tif", "A 60016-2025")</f>
        <v/>
      </c>
      <c r="Z79">
        <f>HYPERLINK("https://klasma.github.io/Logging_2560/klagomål/A 60016-2025 FSC-klagomål.docx", "A 60016-2025")</f>
        <v/>
      </c>
      <c r="AA79">
        <f>HYPERLINK("https://klasma.github.io/Logging_2560/klagomålsmail/A 60016-2025 FSC-klagomål mail.docx", "A 60016-2025")</f>
        <v/>
      </c>
      <c r="AB79">
        <f>HYPERLINK("https://klasma.github.io/Logging_2560/tillsyn/A 60016-2025 tillsynsbegäran.docx", "A 60016-2025")</f>
        <v/>
      </c>
      <c r="AC79">
        <f>HYPERLINK("https://klasma.github.io/Logging_2560/tillsynsmail/A 60016-2025 tillsynsbegäran mail.docx", "A 60016-2025")</f>
        <v/>
      </c>
    </row>
    <row r="80" ht="15" customHeight="1">
      <c r="A80" t="inlineStr">
        <is>
          <t>A 52266-2025</t>
        </is>
      </c>
      <c r="B80" t="inlineStr">
        <is>
          <t>avverkningsanmälan</t>
        </is>
      </c>
      <c r="C80" t="inlineStr">
        <is>
          <t>Föryngringsavverkning</t>
        </is>
      </c>
      <c r="D80" s="1" t="n">
        <v>45953</v>
      </c>
      <c r="E80" s="1" t="n">
        <v>46223</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s="2" t="inlineStr">
        <is>
          <t>Vitgrynig nållav</t>
        </is>
      </c>
      <c r="V80">
        <f>HYPERLINK("https://klasma.github.io/Logging_2560/artfynd/A 52266-2025 artfynd.xlsx", "A 52266-2025")</f>
        <v/>
      </c>
      <c r="W80">
        <f>HYPERLINK("https://klasma.github.io/Logging_2560/kartor/A 52266-2025 karta.png", "A 52266-2025")</f>
        <v/>
      </c>
      <c r="X80">
        <f>HYPERLINK("https://klasma.github.io/Logging_2560/kartor_geotiff/A 52266-2025 georefererad karta.tif", "A 52266-2025")</f>
        <v/>
      </c>
      <c r="Z80">
        <f>HYPERLINK("https://klasma.github.io/Logging_2560/klagomål/A 52266-2025 FSC-klagomål.docx", "A 52266-2025")</f>
        <v/>
      </c>
      <c r="AA80">
        <f>HYPERLINK("https://klasma.github.io/Logging_2560/klagomålsmail/A 52266-2025 FSC-klagomål mail.docx", "A 52266-2025")</f>
        <v/>
      </c>
      <c r="AB80">
        <f>HYPERLINK("https://klasma.github.io/Logging_2560/tillsyn/A 52266-2025 tillsynsbegäran.docx", "A 52266-2025")</f>
        <v/>
      </c>
      <c r="AC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46223</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X81">
        <f>HYPERLINK("https://klasma.github.io/Logging_2560/kartor_geotiff/A 42680-2022 georefererad karta.tif", "A 42680-2022")</f>
        <v/>
      </c>
      <c r="Z81">
        <f>HYPERLINK("https://klasma.github.io/Logging_2560/klagomål/A 42680-2022 FSC-klagomål.docx", "A 42680-2022")</f>
        <v/>
      </c>
      <c r="AA81">
        <f>HYPERLINK("https://klasma.github.io/Logging_2560/klagomålsmail/A 42680-2022 FSC-klagomål mail.docx", "A 42680-2022")</f>
        <v/>
      </c>
      <c r="AB81">
        <f>HYPERLINK("https://klasma.github.io/Logging_2560/tillsyn/A 42680-2022 tillsynsbegäran.docx", "A 42680-2022")</f>
        <v/>
      </c>
      <c r="AC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46223</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X82">
        <f>HYPERLINK("https://klasma.github.io/Logging_2560/kartor_geotiff/A 45397-2025 georefererad karta.tif", "A 45397-2025")</f>
        <v/>
      </c>
      <c r="Z82">
        <f>HYPERLINK("https://klasma.github.io/Logging_2560/klagomål/A 45397-2025 FSC-klagomål.docx", "A 45397-2025")</f>
        <v/>
      </c>
      <c r="AA82">
        <f>HYPERLINK("https://klasma.github.io/Logging_2560/klagomålsmail/A 45397-2025 FSC-klagomål mail.docx", "A 45397-2025")</f>
        <v/>
      </c>
      <c r="AB82">
        <f>HYPERLINK("https://klasma.github.io/Logging_2560/tillsyn/A 45397-2025 tillsynsbegäran.docx", "A 45397-2025")</f>
        <v/>
      </c>
      <c r="AC82">
        <f>HYPERLINK("https://klasma.github.io/Logging_2560/tillsynsmail/A 45397-2025 tillsynsbegäran mail.docx", "A 45397-2025")</f>
        <v/>
      </c>
    </row>
    <row r="83" ht="15" customHeight="1">
      <c r="A83" t="inlineStr">
        <is>
          <t>A 26758-2026</t>
        </is>
      </c>
      <c r="B83" t="inlineStr">
        <is>
          <t>avverkningsanmälan</t>
        </is>
      </c>
      <c r="C83" t="inlineStr">
        <is>
          <t>Föryngringsavverkning</t>
        </is>
      </c>
      <c r="D83" s="1" t="n">
        <v>46184</v>
      </c>
      <c r="E83" s="1" t="n">
        <v>46223</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s="2" t="inlineStr">
        <is>
          <t>Blå taggsvamp</t>
        </is>
      </c>
      <c r="V83">
        <f>HYPERLINK("https://klasma.github.io/Logging_2560/artfynd/A 26758-2026 artfynd.xlsx", "A 26758-2026")</f>
        <v/>
      </c>
      <c r="W83">
        <f>HYPERLINK("https://klasma.github.io/Logging_2560/kartor/A 26758-2026 karta.png", "A 26758-2026")</f>
        <v/>
      </c>
      <c r="X83">
        <f>HYPERLINK("https://klasma.github.io/Logging_2560/kartor_geotiff/A 26758-2026 georefererad karta.tif", "A 26758-2026")</f>
        <v/>
      </c>
      <c r="Z83">
        <f>HYPERLINK("https://klasma.github.io/Logging_2560/klagomål/A 26758-2026 FSC-klagomål.docx", "A 26758-2026")</f>
        <v/>
      </c>
      <c r="AA83">
        <f>HYPERLINK("https://klasma.github.io/Logging_2560/klagomålsmail/A 26758-2026 FSC-klagomål mail.docx", "A 26758-2026")</f>
        <v/>
      </c>
      <c r="AB83">
        <f>HYPERLINK("https://klasma.github.io/Logging_2560/tillsyn/A 26758-2026 tillsynsbegäran.docx", "A 26758-2026")</f>
        <v/>
      </c>
      <c r="AC83">
        <f>HYPERLINK("https://klasma.github.io/Logging_2560/tillsynsmail/A 26758-2026 tillsynsbegäran mail.docx", "A 26758-2026")</f>
        <v/>
      </c>
    </row>
    <row r="84" ht="15" customHeight="1">
      <c r="A84" t="inlineStr">
        <is>
          <t>A 21264-2026</t>
        </is>
      </c>
      <c r="B84" t="inlineStr">
        <is>
          <t>avverkningsanmälan</t>
        </is>
      </c>
      <c r="C84" t="inlineStr">
        <is>
          <t>Föryngringsavverkning</t>
        </is>
      </c>
      <c r="D84" s="1" t="n">
        <v>46147</v>
      </c>
      <c r="E84" s="1" t="n">
        <v>46223</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s="2" t="inlineStr">
        <is>
          <t>Korallrot</t>
        </is>
      </c>
      <c r="V84">
        <f>HYPERLINK("https://klasma.github.io/Logging_2560/artfynd/A 21264-2026 artfynd.xlsx", "A 21264-2026")</f>
        <v/>
      </c>
      <c r="W84">
        <f>HYPERLINK("https://klasma.github.io/Logging_2560/kartor/A 21264-2026 karta.png", "A 21264-2026")</f>
        <v/>
      </c>
      <c r="X84">
        <f>HYPERLINK("https://klasma.github.io/Logging_2560/kartor_geotiff/A 21264-2026 georefererad karta.tif", "A 21264-2026")</f>
        <v/>
      </c>
      <c r="Z84">
        <f>HYPERLINK("https://klasma.github.io/Logging_2560/klagomål/A 21264-2026 FSC-klagomål.docx", "A 21264-2026")</f>
        <v/>
      </c>
      <c r="AA84">
        <f>HYPERLINK("https://klasma.github.io/Logging_2560/klagomålsmail/A 21264-2026 FSC-klagomål mail.docx", "A 21264-2026")</f>
        <v/>
      </c>
      <c r="AB84">
        <f>HYPERLINK("https://klasma.github.io/Logging_2560/tillsyn/A 21264-2026 tillsynsbegäran.docx", "A 21264-2026")</f>
        <v/>
      </c>
      <c r="AC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46223</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s="2" t="inlineStr">
        <is>
          <t>Lunglav</t>
        </is>
      </c>
      <c r="V85">
        <f>HYPERLINK("https://klasma.github.io/Logging_2560/artfynd/A 21302-2026 artfynd.xlsx", "A 21302-2026")</f>
        <v/>
      </c>
      <c r="W85">
        <f>HYPERLINK("https://klasma.github.io/Logging_2560/kartor/A 21302-2026 karta.png", "A 21302-2026")</f>
        <v/>
      </c>
      <c r="X85">
        <f>HYPERLINK("https://klasma.github.io/Logging_2560/kartor_geotiff/A 21302-2026 georefererad karta.tif", "A 21302-2026")</f>
        <v/>
      </c>
      <c r="Z85">
        <f>HYPERLINK("https://klasma.github.io/Logging_2560/klagomål/A 21302-2026 FSC-klagomål.docx", "A 21302-2026")</f>
        <v/>
      </c>
      <c r="AA85">
        <f>HYPERLINK("https://klasma.github.io/Logging_2560/klagomålsmail/A 21302-2026 FSC-klagomål mail.docx", "A 21302-2026")</f>
        <v/>
      </c>
      <c r="AB85">
        <f>HYPERLINK("https://klasma.github.io/Logging_2560/tillsyn/A 21302-2026 tillsynsbegäran.docx", "A 21302-2026")</f>
        <v/>
      </c>
      <c r="AC85">
        <f>HYPERLINK("https://klasma.github.io/Logging_2560/tillsynsmail/A 21302-2026 tillsynsbegäran mail.docx", "A 21302-2026")</f>
        <v/>
      </c>
    </row>
    <row r="86" ht="15" customHeight="1">
      <c r="A86" t="inlineStr">
        <is>
          <t>A 28598-2026</t>
        </is>
      </c>
      <c r="B86" t="inlineStr">
        <is>
          <t>avverkningsanmälan</t>
        </is>
      </c>
      <c r="C86" t="inlineStr">
        <is>
          <t>Föryngringsavverkning</t>
        </is>
      </c>
      <c r="D86" s="1" t="n">
        <v>46197</v>
      </c>
      <c r="E86" s="1" t="n">
        <v>46223</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s="2" t="inlineStr">
        <is>
          <t>Spillkråka</t>
        </is>
      </c>
      <c r="V86">
        <f>HYPERLINK("https://klasma.github.io/Logging_2560/artfynd/A 28598-2026 artfynd.xlsx", "A 28598-2026")</f>
        <v/>
      </c>
      <c r="W86">
        <f>HYPERLINK("https://klasma.github.io/Logging_2560/kartor/A 28598-2026 karta.png", "A 28598-2026")</f>
        <v/>
      </c>
      <c r="X86">
        <f>HYPERLINK("https://klasma.github.io/Logging_2560/kartor_geotiff/A 28598-2026 georefererad karta.tif", "A 28598-2026")</f>
        <v/>
      </c>
      <c r="Z86">
        <f>HYPERLINK("https://klasma.github.io/Logging_2560/klagomål/A 28598-2026 FSC-klagomål.docx", "A 28598-2026")</f>
        <v/>
      </c>
      <c r="AA86">
        <f>HYPERLINK("https://klasma.github.io/Logging_2560/klagomålsmail/A 28598-2026 FSC-klagomål mail.docx", "A 28598-2026")</f>
        <v/>
      </c>
      <c r="AB86">
        <f>HYPERLINK("https://klasma.github.io/Logging_2560/tillsyn/A 28598-2026 tillsynsbegäran.docx", "A 28598-2026")</f>
        <v/>
      </c>
      <c r="AC86">
        <f>HYPERLINK("https://klasma.github.io/Logging_2560/tillsynsmail/A 28598-2026 tillsynsbegäran mail.docx", "A 28598-2026")</f>
        <v/>
      </c>
      <c r="AD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46223</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s="2" t="inlineStr">
        <is>
          <t>Stuplav</t>
        </is>
      </c>
      <c r="V87">
        <f>HYPERLINK("https://klasma.github.io/Logging_2560/artfynd/A 28408-2026 artfynd.xlsx", "A 28408-2026")</f>
        <v/>
      </c>
      <c r="W87">
        <f>HYPERLINK("https://klasma.github.io/Logging_2560/kartor/A 28408-2026 karta.png", "A 28408-2026")</f>
        <v/>
      </c>
      <c r="X87">
        <f>HYPERLINK("https://klasma.github.io/Logging_2560/kartor_geotiff/A 28408-2026 georefererad karta.tif", "A 28408-2026")</f>
        <v/>
      </c>
      <c r="Z87">
        <f>HYPERLINK("https://klasma.github.io/Logging_2560/klagomål/A 28408-2026 FSC-klagomål.docx", "A 28408-2026")</f>
        <v/>
      </c>
      <c r="AA87">
        <f>HYPERLINK("https://klasma.github.io/Logging_2560/klagomålsmail/A 28408-2026 FSC-klagomål mail.docx", "A 28408-2026")</f>
        <v/>
      </c>
      <c r="AB87">
        <f>HYPERLINK("https://klasma.github.io/Logging_2560/tillsyn/A 28408-2026 tillsynsbegäran.docx", "A 28408-2026")</f>
        <v/>
      </c>
      <c r="AC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46223</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s="2" t="inlineStr">
        <is>
          <t>Spillkråka</t>
        </is>
      </c>
      <c r="V88">
        <f>HYPERLINK("https://klasma.github.io/Logging_2560/artfynd/A 28593-2026 artfynd.xlsx", "A 28593-2026")</f>
        <v/>
      </c>
      <c r="W88">
        <f>HYPERLINK("https://klasma.github.io/Logging_2560/kartor/A 28593-2026 karta.png", "A 28593-2026")</f>
        <v/>
      </c>
      <c r="X88">
        <f>HYPERLINK("https://klasma.github.io/Logging_2560/kartor_geotiff/A 28593-2026 georefererad karta.tif", "A 28593-2026")</f>
        <v/>
      </c>
      <c r="Z88">
        <f>HYPERLINK("https://klasma.github.io/Logging_2560/klagomål/A 28593-2026 FSC-klagomål.docx", "A 28593-2026")</f>
        <v/>
      </c>
      <c r="AA88">
        <f>HYPERLINK("https://klasma.github.io/Logging_2560/klagomålsmail/A 28593-2026 FSC-klagomål mail.docx", "A 28593-2026")</f>
        <v/>
      </c>
      <c r="AB88">
        <f>HYPERLINK("https://klasma.github.io/Logging_2560/tillsyn/A 28593-2026 tillsynsbegäran.docx", "A 28593-2026")</f>
        <v/>
      </c>
      <c r="AC88">
        <f>HYPERLINK("https://klasma.github.io/Logging_2560/tillsynsmail/A 28593-2026 tillsynsbegäran mail.docx", "A 28593-2026")</f>
        <v/>
      </c>
      <c r="AD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46223</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s="2" t="inlineStr">
        <is>
          <t>Kolflarnlav</t>
        </is>
      </c>
      <c r="V89">
        <f>HYPERLINK("https://klasma.github.io/Logging_2560/artfynd/A 23740-2026 artfynd.xlsx", "A 23740-2026")</f>
        <v/>
      </c>
      <c r="W89">
        <f>HYPERLINK("https://klasma.github.io/Logging_2560/kartor/A 23740-2026 karta.png", "A 23740-2026")</f>
        <v/>
      </c>
      <c r="X89">
        <f>HYPERLINK("https://klasma.github.io/Logging_2560/kartor_geotiff/A 23740-2026 georefererad karta.tif", "A 23740-2026")</f>
        <v/>
      </c>
      <c r="Z89">
        <f>HYPERLINK("https://klasma.github.io/Logging_2560/klagomål/A 23740-2026 FSC-klagomål.docx", "A 23740-2026")</f>
        <v/>
      </c>
      <c r="AA89">
        <f>HYPERLINK("https://klasma.github.io/Logging_2560/klagomålsmail/A 23740-2026 FSC-klagomål mail.docx", "A 23740-2026")</f>
        <v/>
      </c>
      <c r="AB89">
        <f>HYPERLINK("https://klasma.github.io/Logging_2560/tillsyn/A 23740-2026 tillsynsbegäran.docx", "A 23740-2026")</f>
        <v/>
      </c>
      <c r="AC89">
        <f>HYPERLINK("https://klasma.github.io/Logging_2560/tillsynsmail/A 23740-2026 tillsynsbegäran mail.docx", "A 23740-2026")</f>
        <v/>
      </c>
    </row>
    <row r="90" ht="15" customHeight="1">
      <c r="A90" t="inlineStr">
        <is>
          <t>A 23790-2025</t>
        </is>
      </c>
      <c r="B90" t="inlineStr">
        <is>
          <t>avverkningsanmälan</t>
        </is>
      </c>
      <c r="C90" t="inlineStr">
        <is>
          <t>Föryngringsavverkning</t>
        </is>
      </c>
      <c r="D90" s="1" t="n">
        <v>45793</v>
      </c>
      <c r="E90" s="1" t="n">
        <v>46223</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s="2" t="inlineStr">
        <is>
          <t>Vedflamlav</t>
        </is>
      </c>
      <c r="V90">
        <f>HYPERLINK("https://klasma.github.io/Logging_2560/artfynd/A 23790-2025 artfynd.xlsx", "A 23790-2025")</f>
        <v/>
      </c>
      <c r="W90">
        <f>HYPERLINK("https://klasma.github.io/Logging_2560/kartor/A 23790-2025 karta.png", "A 23790-2025")</f>
        <v/>
      </c>
      <c r="X90">
        <f>HYPERLINK("https://klasma.github.io/Logging_2560/kartor_geotiff/A 23790-2025 georefererad karta.tif", "A 23790-2025")</f>
        <v/>
      </c>
      <c r="Z90">
        <f>HYPERLINK("https://klasma.github.io/Logging_2560/klagomål/A 23790-2025 FSC-klagomål.docx", "A 23790-2025")</f>
        <v/>
      </c>
      <c r="AA90">
        <f>HYPERLINK("https://klasma.github.io/Logging_2560/klagomålsmail/A 23790-2025 FSC-klagomål mail.docx", "A 23790-2025")</f>
        <v/>
      </c>
      <c r="AB90">
        <f>HYPERLINK("https://klasma.github.io/Logging_2560/tillsyn/A 23790-2025 tillsynsbegäran.docx", "A 23790-2025")</f>
        <v/>
      </c>
      <c r="AC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46223</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s="2" t="inlineStr"/>
    </row>
    <row r="92" ht="15" customHeight="1">
      <c r="A92" t="inlineStr">
        <is>
          <t>A 51063-2022</t>
        </is>
      </c>
      <c r="B92" t="inlineStr">
        <is>
          <t>avverkningsanmälan</t>
        </is>
      </c>
      <c r="C92" t="inlineStr">
        <is>
          <t>Avverkning för annat ändamål</t>
        </is>
      </c>
      <c r="D92" s="1" t="n">
        <v>44868</v>
      </c>
      <c r="E92" s="1" t="n">
        <v>46223</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s="2" t="inlineStr"/>
    </row>
    <row r="93" ht="15" customHeight="1">
      <c r="A93" t="inlineStr">
        <is>
          <t>A 73648-2021</t>
        </is>
      </c>
      <c r="B93" t="inlineStr">
        <is>
          <t>avverkningsanmälan</t>
        </is>
      </c>
      <c r="C93" t="inlineStr">
        <is>
          <t>Föryngringsavverkning</t>
        </is>
      </c>
      <c r="D93" s="1" t="n">
        <v>44552</v>
      </c>
      <c r="E93" s="1" t="n">
        <v>46223</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s="2" t="inlineStr"/>
    </row>
    <row r="94" ht="15" customHeight="1">
      <c r="A94" t="inlineStr">
        <is>
          <t>A 59483-2021</t>
        </is>
      </c>
      <c r="B94" t="inlineStr">
        <is>
          <t>avverkningsanmälan</t>
        </is>
      </c>
      <c r="C94" t="inlineStr">
        <is>
          <t>Föryngringsavverkning</t>
        </is>
      </c>
      <c r="D94" s="1" t="n">
        <v>44491</v>
      </c>
      <c r="E94" s="1" t="n">
        <v>46223</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s="2" t="inlineStr"/>
    </row>
    <row r="95" ht="15" customHeight="1">
      <c r="A95" t="inlineStr">
        <is>
          <t>A 59487-2021</t>
        </is>
      </c>
      <c r="B95" t="inlineStr">
        <is>
          <t>avverkningsanmälan</t>
        </is>
      </c>
      <c r="C95" t="inlineStr">
        <is>
          <t>Föryngringsavverkning</t>
        </is>
      </c>
      <c r="D95" s="1" t="n">
        <v>44491</v>
      </c>
      <c r="E95" s="1" t="n">
        <v>46223</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s="2" t="inlineStr"/>
    </row>
    <row r="96" ht="15" customHeight="1">
      <c r="A96" t="inlineStr">
        <is>
          <t>A 50917-2021</t>
        </is>
      </c>
      <c r="B96" t="inlineStr">
        <is>
          <t>avverkningsanmälan</t>
        </is>
      </c>
      <c r="C96" t="inlineStr">
        <is>
          <t>Föryngringsavverkning</t>
        </is>
      </c>
      <c r="D96" s="1" t="n">
        <v>44460</v>
      </c>
      <c r="E96" s="1" t="n">
        <v>46223</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s="2" t="inlineStr"/>
    </row>
    <row r="97" ht="15" customHeight="1">
      <c r="A97" t="inlineStr">
        <is>
          <t>A 67103-2021</t>
        </is>
      </c>
      <c r="B97" t="inlineStr">
        <is>
          <t>avverkningsanmälan</t>
        </is>
      </c>
      <c r="C97" t="inlineStr">
        <is>
          <t>Föryngringsavverkning</t>
        </is>
      </c>
      <c r="D97" s="1" t="n">
        <v>44522</v>
      </c>
      <c r="E97" s="1" t="n">
        <v>46223</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s="2" t="inlineStr"/>
    </row>
    <row r="98" ht="15" customHeight="1">
      <c r="A98" t="inlineStr">
        <is>
          <t>A 73589-2021</t>
        </is>
      </c>
      <c r="B98" t="inlineStr">
        <is>
          <t>avverkningsanmälan</t>
        </is>
      </c>
      <c r="C98" t="inlineStr">
        <is>
          <t>Föryngringsavverkning</t>
        </is>
      </c>
      <c r="D98" s="1" t="n">
        <v>44552</v>
      </c>
      <c r="E98" s="1" t="n">
        <v>46223</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s="2" t="inlineStr"/>
    </row>
    <row r="99" ht="15" customHeight="1">
      <c r="A99" t="inlineStr">
        <is>
          <t>A 57816-2021</t>
        </is>
      </c>
      <c r="B99" t="inlineStr">
        <is>
          <t>avverkningsanmälan</t>
        </is>
      </c>
      <c r="C99" t="inlineStr">
        <is>
          <t>Föryngringsavverkning</t>
        </is>
      </c>
      <c r="D99" s="1" t="n">
        <v>44484</v>
      </c>
      <c r="E99" s="1" t="n">
        <v>46223</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s="2" t="inlineStr"/>
    </row>
    <row r="100" ht="15" customHeight="1">
      <c r="A100" t="inlineStr">
        <is>
          <t>A 46307-2022</t>
        </is>
      </c>
      <c r="B100" t="inlineStr">
        <is>
          <t>avverkningsanmälan</t>
        </is>
      </c>
      <c r="C100" t="inlineStr">
        <is>
          <t>Avverkning för annat ändamål</t>
        </is>
      </c>
      <c r="D100" s="1" t="n">
        <v>44847</v>
      </c>
      <c r="E100" s="1" t="n">
        <v>46223</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41159-2022</t>
        </is>
      </c>
      <c r="B101" t="inlineStr">
        <is>
          <t>avverkningsanmälan</t>
        </is>
      </c>
      <c r="C101" t="inlineStr">
        <is>
          <t>Avverkning för annat ändamål</t>
        </is>
      </c>
      <c r="D101" s="1" t="n">
        <v>44825</v>
      </c>
      <c r="E101" s="1" t="n">
        <v>46223</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49773-2021</t>
        </is>
      </c>
      <c r="B102" t="inlineStr">
        <is>
          <t>avverkningsanmälan</t>
        </is>
      </c>
      <c r="C102" t="inlineStr">
        <is>
          <t>Avverkning för annat ändamål</t>
        </is>
      </c>
      <c r="D102" s="1" t="n">
        <v>44455</v>
      </c>
      <c r="E102" s="1" t="n">
        <v>46223</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46881-2021</t>
        </is>
      </c>
      <c r="B103" t="inlineStr">
        <is>
          <t>avverkningsanmälan</t>
        </is>
      </c>
      <c r="C103" t="inlineStr">
        <is>
          <t>Föryngringsavverkning</t>
        </is>
      </c>
      <c r="D103" s="1" t="n">
        <v>44446</v>
      </c>
      <c r="E103" s="1" t="n">
        <v>46223</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27202-2022</t>
        </is>
      </c>
      <c r="B104" t="inlineStr">
        <is>
          <t>avverkningsanmälan</t>
        </is>
      </c>
      <c r="C104" t="inlineStr">
        <is>
          <t>Föryngringsavverkning</t>
        </is>
      </c>
      <c r="D104" s="1" t="n">
        <v>44741</v>
      </c>
      <c r="E104" s="1" t="n">
        <v>46223</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52253-2021</t>
        </is>
      </c>
      <c r="B105" t="inlineStr">
        <is>
          <t>avverkningsanmälan</t>
        </is>
      </c>
      <c r="C105" t="inlineStr">
        <is>
          <t>Föryngringsavverkning</t>
        </is>
      </c>
      <c r="D105" s="1" t="n">
        <v>44463</v>
      </c>
      <c r="E105" s="1" t="n">
        <v>46223</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29176-2022</t>
        </is>
      </c>
      <c r="B106" t="inlineStr">
        <is>
          <t>avverkningsanmälan</t>
        </is>
      </c>
      <c r="C106" t="inlineStr">
        <is>
          <t>Avverkning för att bevara och utveckla /försöksver</t>
        </is>
      </c>
      <c r="D106" s="1" t="n">
        <v>44750</v>
      </c>
      <c r="E106" s="1" t="n">
        <v>46223</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6820-2022</t>
        </is>
      </c>
      <c r="B107" t="inlineStr">
        <is>
          <t>avverkningsanmälan</t>
        </is>
      </c>
      <c r="C107" t="inlineStr">
        <is>
          <t>Föryngringsavverkning</t>
        </is>
      </c>
      <c r="D107" s="1" t="n">
        <v>44602</v>
      </c>
      <c r="E107" s="1" t="n">
        <v>46223</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s="2" t="inlineStr"/>
    </row>
    <row r="108" ht="15" customHeight="1">
      <c r="A108" t="inlineStr">
        <is>
          <t>A 45603-2021</t>
        </is>
      </c>
      <c r="B108" t="inlineStr">
        <is>
          <t>avverkningsanmälan</t>
        </is>
      </c>
      <c r="C108" t="inlineStr">
        <is>
          <t>Föryngringsavverkning</t>
        </is>
      </c>
      <c r="D108" s="1" t="n">
        <v>44440</v>
      </c>
      <c r="E108" s="1" t="n">
        <v>46223</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65410-2021</t>
        </is>
      </c>
      <c r="B109" t="inlineStr">
        <is>
          <t>avverkningsanmälan</t>
        </is>
      </c>
      <c r="C109" t="inlineStr">
        <is>
          <t>Föryngringsavverkning</t>
        </is>
      </c>
      <c r="D109" s="1" t="n">
        <v>44515</v>
      </c>
      <c r="E109" s="1" t="n">
        <v>46223</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39914-2022</t>
        </is>
      </c>
      <c r="B110" t="inlineStr">
        <is>
          <t>avverkningsanmälan</t>
        </is>
      </c>
      <c r="C110" t="inlineStr">
        <is>
          <t>Föryngringsavverkning</t>
        </is>
      </c>
      <c r="D110" s="1" t="n">
        <v>44819</v>
      </c>
      <c r="E110" s="1" t="n">
        <v>46223</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34656-2022</t>
        </is>
      </c>
      <c r="B111" t="inlineStr">
        <is>
          <t>avverkningsanmälan</t>
        </is>
      </c>
      <c r="C111" t="inlineStr">
        <is>
          <t>Avverkning för annat ändamål</t>
        </is>
      </c>
      <c r="D111" s="1" t="n">
        <v>44795</v>
      </c>
      <c r="E111" s="1" t="n">
        <v>46223</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38490-2022</t>
        </is>
      </c>
      <c r="B112" t="inlineStr">
        <is>
          <t>avverkningsanmälan</t>
        </is>
      </c>
      <c r="C112" t="inlineStr">
        <is>
          <t>Avverkning för att bevara och utveckla /försöksver</t>
        </is>
      </c>
      <c r="D112" s="1" t="n">
        <v>44813</v>
      </c>
      <c r="E112" s="1" t="n">
        <v>46223</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55775-2021</t>
        </is>
      </c>
      <c r="B113" t="inlineStr">
        <is>
          <t>avverkningsanmälan</t>
        </is>
      </c>
      <c r="C113" t="inlineStr">
        <is>
          <t>Föryngringsavverkning</t>
        </is>
      </c>
      <c r="D113" s="1" t="n">
        <v>44476</v>
      </c>
      <c r="E113" s="1" t="n">
        <v>46223</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5646-2024</t>
        </is>
      </c>
      <c r="B114" t="inlineStr">
        <is>
          <t>avverkningsanmälan</t>
        </is>
      </c>
      <c r="C114" t="inlineStr">
        <is>
          <t>Föryngringsavverkning</t>
        </is>
      </c>
      <c r="D114" s="1" t="n">
        <v>45334</v>
      </c>
      <c r="E114" s="1" t="n">
        <v>46223</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5628-2024</t>
        </is>
      </c>
      <c r="B115" t="inlineStr">
        <is>
          <t>avverkningsanmälan</t>
        </is>
      </c>
      <c r="C115" t="inlineStr">
        <is>
          <t>Föryngringsavverkning</t>
        </is>
      </c>
      <c r="D115" s="1" t="n">
        <v>45334</v>
      </c>
      <c r="E115" s="1" t="n">
        <v>46223</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54317-2023</t>
        </is>
      </c>
      <c r="B116" t="inlineStr">
        <is>
          <t>avverkningsanmälan</t>
        </is>
      </c>
      <c r="C116" t="inlineStr">
        <is>
          <t>Föryngringsavverkning</t>
        </is>
      </c>
      <c r="D116" s="1" t="n">
        <v>45232</v>
      </c>
      <c r="E116" s="1" t="n">
        <v>46223</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10249-2024</t>
        </is>
      </c>
      <c r="B117" t="inlineStr">
        <is>
          <t>avverkningsanmälan</t>
        </is>
      </c>
      <c r="C117" t="inlineStr">
        <is>
          <t>Föryngringsavverkning</t>
        </is>
      </c>
      <c r="D117" s="1" t="n">
        <v>45365</v>
      </c>
      <c r="E117" s="1" t="n">
        <v>46223</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20253-2024</t>
        </is>
      </c>
      <c r="B118" t="inlineStr">
        <is>
          <t>avverkningsanmälan</t>
        </is>
      </c>
      <c r="C118" t="inlineStr">
        <is>
          <t>Föryngringsavverkning</t>
        </is>
      </c>
      <c r="D118" s="1" t="n">
        <v>45434</v>
      </c>
      <c r="E118" s="1" t="n">
        <v>46223</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10434-2024</t>
        </is>
      </c>
      <c r="B119" t="inlineStr">
        <is>
          <t>avverkningsanmälan</t>
        </is>
      </c>
      <c r="C119" t="inlineStr">
        <is>
          <t>Föryngringsavverkning</t>
        </is>
      </c>
      <c r="D119" s="1" t="n">
        <v>45365</v>
      </c>
      <c r="E119" s="1" t="n">
        <v>46223</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s="2" t="inlineStr"/>
    </row>
    <row r="120" ht="15" customHeight="1">
      <c r="A120" t="inlineStr">
        <is>
          <t>A 46308-2022</t>
        </is>
      </c>
      <c r="B120" t="inlineStr">
        <is>
          <t>avverkningsanmälan</t>
        </is>
      </c>
      <c r="C120" t="inlineStr">
        <is>
          <t>Avverkning för annat ändamål</t>
        </is>
      </c>
      <c r="D120" s="1" t="n">
        <v>44847</v>
      </c>
      <c r="E120" s="1" t="n">
        <v>46223</v>
      </c>
      <c r="F120" t="inlineStr">
        <is>
          <t>NORRBOTTENS LÄN</t>
        </is>
      </c>
      <c r="G120" t="inlineStr">
        <is>
          <t>ÄLVSBYN</t>
        </is>
      </c>
      <c r="I120" t="n">
        <v>18.7</v>
      </c>
      <c r="J120" t="n">
        <v>0</v>
      </c>
      <c r="K120" t="n">
        <v>0</v>
      </c>
      <c r="L120" t="n">
        <v>0</v>
      </c>
      <c r="M120" t="n">
        <v>0</v>
      </c>
      <c r="N120" t="n">
        <v>0</v>
      </c>
      <c r="O120" t="n">
        <v>0</v>
      </c>
      <c r="P120" t="n">
        <v>0</v>
      </c>
      <c r="Q120" t="n">
        <v>0</v>
      </c>
      <c r="R120" t="n">
        <v>0</v>
      </c>
      <c r="S120" t="n">
        <v>0</v>
      </c>
      <c r="T120" t="n">
        <v>0</v>
      </c>
      <c r="U120" s="2" t="inlineStr"/>
    </row>
    <row r="121" ht="15" customHeight="1">
      <c r="A121" t="inlineStr">
        <is>
          <t>A 4128-2023</t>
        </is>
      </c>
      <c r="B121" t="inlineStr">
        <is>
          <t>avverkningsanmälan</t>
        </is>
      </c>
      <c r="C121" t="inlineStr">
        <is>
          <t>Föryngringsavverkning</t>
        </is>
      </c>
      <c r="D121" s="1" t="n">
        <v>44952</v>
      </c>
      <c r="E121" s="1" t="n">
        <v>46223</v>
      </c>
      <c r="F121" t="inlineStr">
        <is>
          <t>NORRBOTTENS LÄN</t>
        </is>
      </c>
      <c r="G121" t="inlineStr">
        <is>
          <t>ÄLVSBYN</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40284-2024</t>
        </is>
      </c>
      <c r="B122" t="inlineStr">
        <is>
          <t>avverkningsanmälan</t>
        </is>
      </c>
      <c r="C122" t="inlineStr">
        <is>
          <t>Föryngringsavverkning</t>
        </is>
      </c>
      <c r="D122" s="1" t="n">
        <v>45554</v>
      </c>
      <c r="E122" s="1" t="n">
        <v>46223</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25420-2024</t>
        </is>
      </c>
      <c r="B123" t="inlineStr">
        <is>
          <t>avverkningsanmälan</t>
        </is>
      </c>
      <c r="C123" t="inlineStr">
        <is>
          <t>Avverkning för annat ändamål</t>
        </is>
      </c>
      <c r="D123" s="1" t="n">
        <v>45463</v>
      </c>
      <c r="E123" s="1" t="n">
        <v>46223</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62696-2023</t>
        </is>
      </c>
      <c r="B124" t="inlineStr">
        <is>
          <t>avverkningsanmälan</t>
        </is>
      </c>
      <c r="C124" t="inlineStr">
        <is>
          <t>Föryngringsavverkning</t>
        </is>
      </c>
      <c r="D124" s="1" t="n">
        <v>45271</v>
      </c>
      <c r="E124" s="1" t="n">
        <v>46223</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28314-2024</t>
        </is>
      </c>
      <c r="B125" t="inlineStr">
        <is>
          <t>avverkningsanmälan</t>
        </is>
      </c>
      <c r="C125" t="inlineStr">
        <is>
          <t>Föryngringsavverkning</t>
        </is>
      </c>
      <c r="D125" s="1" t="n">
        <v>45477</v>
      </c>
      <c r="E125" s="1" t="n">
        <v>46223</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s="2" t="inlineStr"/>
    </row>
    <row r="126" ht="15" customHeight="1">
      <c r="A126" t="inlineStr">
        <is>
          <t>A 52327-2022</t>
        </is>
      </c>
      <c r="B126" t="inlineStr">
        <is>
          <t>avverkningsanmälan</t>
        </is>
      </c>
      <c r="C126" t="inlineStr">
        <is>
          <t>Föryngringsavverkning</t>
        </is>
      </c>
      <c r="D126" s="1" t="n">
        <v>44873</v>
      </c>
      <c r="E126" s="1" t="n">
        <v>46223</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s="2" t="inlineStr"/>
    </row>
    <row r="127" ht="15" customHeight="1">
      <c r="A127" t="inlineStr">
        <is>
          <t>A 61518-2023</t>
        </is>
      </c>
      <c r="B127" t="inlineStr">
        <is>
          <t>avverkningsanmälan</t>
        </is>
      </c>
      <c r="C127" t="inlineStr">
        <is>
          <t>Föryngringsavverkning</t>
        </is>
      </c>
      <c r="D127" s="1" t="n">
        <v>45265</v>
      </c>
      <c r="E127" s="1" t="n">
        <v>46223</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s="2" t="inlineStr"/>
    </row>
    <row r="128" ht="15" customHeight="1">
      <c r="A128" t="inlineStr">
        <is>
          <t>A 41989-2024</t>
        </is>
      </c>
      <c r="B128" t="inlineStr">
        <is>
          <t>avverkningsanmälan</t>
        </is>
      </c>
      <c r="C128" t="inlineStr">
        <is>
          <t>Föryngringsavverkning</t>
        </is>
      </c>
      <c r="D128" s="1" t="n">
        <v>45561</v>
      </c>
      <c r="E128" s="1" t="n">
        <v>46223</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s="2" t="inlineStr"/>
    </row>
    <row r="129" ht="15" customHeight="1">
      <c r="A129" t="inlineStr">
        <is>
          <t>A 10066-2023</t>
        </is>
      </c>
      <c r="B129" t="inlineStr">
        <is>
          <t>avverkningsanmälan</t>
        </is>
      </c>
      <c r="C129" t="inlineStr">
        <is>
          <t>Föryngringsavverkning</t>
        </is>
      </c>
      <c r="D129" s="1" t="n">
        <v>44985</v>
      </c>
      <c r="E129" s="1" t="n">
        <v>46223</v>
      </c>
      <c r="F129" t="inlineStr">
        <is>
          <t>NORRBOTTENS LÄN</t>
        </is>
      </c>
      <c r="G129" t="inlineStr">
        <is>
          <t>ÄLVSBYN</t>
        </is>
      </c>
      <c r="I129" t="n">
        <v>7.6</v>
      </c>
      <c r="J129" t="n">
        <v>0</v>
      </c>
      <c r="K129" t="n">
        <v>0</v>
      </c>
      <c r="L129" t="n">
        <v>0</v>
      </c>
      <c r="M129" t="n">
        <v>0</v>
      </c>
      <c r="N129" t="n">
        <v>0</v>
      </c>
      <c r="O129" t="n">
        <v>0</v>
      </c>
      <c r="P129" t="n">
        <v>0</v>
      </c>
      <c r="Q129" t="n">
        <v>0</v>
      </c>
      <c r="R129" t="n">
        <v>0</v>
      </c>
      <c r="S129" t="n">
        <v>0</v>
      </c>
      <c r="T129" t="n">
        <v>0</v>
      </c>
      <c r="U129" s="2" t="inlineStr"/>
    </row>
    <row r="130" ht="15" customHeight="1">
      <c r="A130" t="inlineStr">
        <is>
          <t>A 57214-2022</t>
        </is>
      </c>
      <c r="B130" t="inlineStr">
        <is>
          <t>avverkningsanmälan</t>
        </is>
      </c>
      <c r="C130" t="inlineStr">
        <is>
          <t>Föryngringsavverkning</t>
        </is>
      </c>
      <c r="D130" s="1" t="n">
        <v>44895</v>
      </c>
      <c r="E130" s="1" t="n">
        <v>46223</v>
      </c>
      <c r="F130" t="inlineStr">
        <is>
          <t>NORRBOTTENS LÄN</t>
        </is>
      </c>
      <c r="G130" t="inlineStr">
        <is>
          <t>ÄLVSBYN</t>
        </is>
      </c>
      <c r="H130" t="inlineStr">
        <is>
          <t>Övriga Aktiebolag</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57233-2022</t>
        </is>
      </c>
      <c r="B131" t="inlineStr">
        <is>
          <t>avverkningsanmälan</t>
        </is>
      </c>
      <c r="C131" t="inlineStr">
        <is>
          <t>Föryngringsavverkning</t>
        </is>
      </c>
      <c r="D131" s="1" t="n">
        <v>44895</v>
      </c>
      <c r="E131" s="1" t="n">
        <v>46223</v>
      </c>
      <c r="F131" t="inlineStr">
        <is>
          <t>NORRBOTTENS LÄN</t>
        </is>
      </c>
      <c r="G131" t="inlineStr">
        <is>
          <t>ÄLVSBYN</t>
        </is>
      </c>
      <c r="H131" t="inlineStr">
        <is>
          <t>Övriga Aktiebolag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25947-2025</t>
        </is>
      </c>
      <c r="B132" t="inlineStr">
        <is>
          <t>avverkningsanmälan</t>
        </is>
      </c>
      <c r="C132" t="inlineStr">
        <is>
          <t>Föryngringsavverkning</t>
        </is>
      </c>
      <c r="D132" s="1" t="n">
        <v>45804</v>
      </c>
      <c r="E132" s="1" t="n">
        <v>46223</v>
      </c>
      <c r="F132" t="inlineStr">
        <is>
          <t>NORRBOTTENS LÄN</t>
        </is>
      </c>
      <c r="G132" t="inlineStr">
        <is>
          <t>ÄLVSBYN</t>
        </is>
      </c>
      <c r="H132" t="inlineStr">
        <is>
          <t>SCA</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55552-2024</t>
        </is>
      </c>
      <c r="B133" t="inlineStr">
        <is>
          <t>avverkningsanmälan</t>
        </is>
      </c>
      <c r="C133" t="inlineStr">
        <is>
          <t>Föryngringsavverkning</t>
        </is>
      </c>
      <c r="D133" s="1" t="n">
        <v>45622</v>
      </c>
      <c r="E133" s="1" t="n">
        <v>46223</v>
      </c>
      <c r="F133" t="inlineStr">
        <is>
          <t>NORRBOTTENS LÄN</t>
        </is>
      </c>
      <c r="G133" t="inlineStr">
        <is>
          <t>ÄLVSBYN</t>
        </is>
      </c>
      <c r="H133" t="inlineStr">
        <is>
          <t>Övriga Aktiebolag</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64471-2023</t>
        </is>
      </c>
      <c r="B134" t="inlineStr">
        <is>
          <t>avverkningsanmälan</t>
        </is>
      </c>
      <c r="C134" t="inlineStr">
        <is>
          <t>Föryngringsavverkning</t>
        </is>
      </c>
      <c r="D134" s="1" t="n">
        <v>45280</v>
      </c>
      <c r="E134" s="1" t="n">
        <v>46223</v>
      </c>
      <c r="F134" t="inlineStr">
        <is>
          <t>NORRBOTTENS LÄN</t>
        </is>
      </c>
      <c r="G134" t="inlineStr">
        <is>
          <t>ÄLVSBYN</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26083-2025</t>
        </is>
      </c>
      <c r="B135" t="inlineStr">
        <is>
          <t>avverkningsanmälan</t>
        </is>
      </c>
      <c r="C135" t="inlineStr">
        <is>
          <t>Föryngringsavverkning</t>
        </is>
      </c>
      <c r="D135" s="1" t="n">
        <v>45805</v>
      </c>
      <c r="E135" s="1" t="n">
        <v>46223</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26599-2025</t>
        </is>
      </c>
      <c r="B136" t="inlineStr">
        <is>
          <t>avverkningsanmälan</t>
        </is>
      </c>
      <c r="C136" t="inlineStr">
        <is>
          <t>Föryngringsavverkning</t>
        </is>
      </c>
      <c r="D136" s="1" t="n">
        <v>45808</v>
      </c>
      <c r="E136" s="1" t="n">
        <v>46223</v>
      </c>
      <c r="F136" t="inlineStr">
        <is>
          <t>NORRBOTTENS LÄN</t>
        </is>
      </c>
      <c r="G136" t="inlineStr">
        <is>
          <t>ÄLVSBYN</t>
        </is>
      </c>
      <c r="H136" t="inlineStr">
        <is>
          <t>SCA</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32202-2024</t>
        </is>
      </c>
      <c r="B137" t="inlineStr">
        <is>
          <t>avverkningsanmälan</t>
        </is>
      </c>
      <c r="C137" t="inlineStr">
        <is>
          <t>Föryngringsavverkning</t>
        </is>
      </c>
      <c r="D137" s="1" t="n">
        <v>45511</v>
      </c>
      <c r="E137" s="1" t="n">
        <v>46223</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51456-2023</t>
        </is>
      </c>
      <c r="B138" t="inlineStr">
        <is>
          <t>avverkningsanmälan</t>
        </is>
      </c>
      <c r="C138" t="inlineStr">
        <is>
          <t>Föryngringsavverkning</t>
        </is>
      </c>
      <c r="D138" s="1" t="n">
        <v>45220</v>
      </c>
      <c r="E138" s="1" t="n">
        <v>46223</v>
      </c>
      <c r="F138" t="inlineStr">
        <is>
          <t>NORRBOTTENS LÄN</t>
        </is>
      </c>
      <c r="G138" t="inlineStr">
        <is>
          <t>ÄLVSBYN</t>
        </is>
      </c>
      <c r="H138" t="inlineStr">
        <is>
          <t>SCA</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51794-2023</t>
        </is>
      </c>
      <c r="B139" t="inlineStr">
        <is>
          <t>avverkningsanmälan</t>
        </is>
      </c>
      <c r="C139" t="inlineStr">
        <is>
          <t>Föryngringsavverkning</t>
        </is>
      </c>
      <c r="D139" s="1" t="n">
        <v>45222</v>
      </c>
      <c r="E139" s="1" t="n">
        <v>46223</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27280-2025</t>
        </is>
      </c>
      <c r="B140" t="inlineStr">
        <is>
          <t>avverkningsanmälan</t>
        </is>
      </c>
      <c r="C140" t="inlineStr">
        <is>
          <t>Föryngringsavverkning</t>
        </is>
      </c>
      <c r="D140" s="1" t="n">
        <v>45812</v>
      </c>
      <c r="E140" s="1" t="n">
        <v>46223</v>
      </c>
      <c r="F140" t="inlineStr">
        <is>
          <t>NORRBOTTENS LÄN</t>
        </is>
      </c>
      <c r="G140" t="inlineStr">
        <is>
          <t>ÄLVSBYN</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39604-2024</t>
        </is>
      </c>
      <c r="B141" t="inlineStr">
        <is>
          <t>avverkningsanmälan</t>
        </is>
      </c>
      <c r="C141" t="inlineStr">
        <is>
          <t>Föryngringsavverkning</t>
        </is>
      </c>
      <c r="D141" s="1" t="n">
        <v>45552</v>
      </c>
      <c r="E141" s="1" t="n">
        <v>46223</v>
      </c>
      <c r="F141" t="inlineStr">
        <is>
          <t>NORRBOTTENS LÄN</t>
        </is>
      </c>
      <c r="G141" t="inlineStr">
        <is>
          <t>ÄLVSBYN</t>
        </is>
      </c>
      <c r="H141" t="inlineStr">
        <is>
          <t>SCA</t>
        </is>
      </c>
      <c r="I141" t="n">
        <v>4.1</v>
      </c>
      <c r="J141" t="n">
        <v>0</v>
      </c>
      <c r="K141" t="n">
        <v>0</v>
      </c>
      <c r="L141" t="n">
        <v>0</v>
      </c>
      <c r="M141" t="n">
        <v>0</v>
      </c>
      <c r="N141" t="n">
        <v>0</v>
      </c>
      <c r="O141" t="n">
        <v>0</v>
      </c>
      <c r="P141" t="n">
        <v>0</v>
      </c>
      <c r="Q141" t="n">
        <v>0</v>
      </c>
      <c r="R141" t="n">
        <v>0</v>
      </c>
      <c r="S141" t="n">
        <v>0</v>
      </c>
      <c r="T141" t="n">
        <v>0</v>
      </c>
      <c r="U141" s="2" t="inlineStr"/>
    </row>
    <row r="142" ht="15" customHeight="1">
      <c r="A142" t="inlineStr">
        <is>
          <t>A 41845-2024</t>
        </is>
      </c>
      <c r="B142" t="inlineStr">
        <is>
          <t>avverkningsanmälan</t>
        </is>
      </c>
      <c r="C142" t="inlineStr">
        <is>
          <t>Föryngringsavverkning</t>
        </is>
      </c>
      <c r="D142" s="1" t="n">
        <v>45561</v>
      </c>
      <c r="E142" s="1" t="n">
        <v>46223</v>
      </c>
      <c r="F142" t="inlineStr">
        <is>
          <t>NORRBOTTENS LÄN</t>
        </is>
      </c>
      <c r="G142" t="inlineStr">
        <is>
          <t>ÄLVSBYN</t>
        </is>
      </c>
      <c r="I142" t="n">
        <v>4.4</v>
      </c>
      <c r="J142" t="n">
        <v>0</v>
      </c>
      <c r="K142" t="n">
        <v>0</v>
      </c>
      <c r="L142" t="n">
        <v>0</v>
      </c>
      <c r="M142" t="n">
        <v>0</v>
      </c>
      <c r="N142" t="n">
        <v>0</v>
      </c>
      <c r="O142" t="n">
        <v>0</v>
      </c>
      <c r="P142" t="n">
        <v>0</v>
      </c>
      <c r="Q142" t="n">
        <v>0</v>
      </c>
      <c r="R142" t="n">
        <v>0</v>
      </c>
      <c r="S142" t="n">
        <v>0</v>
      </c>
      <c r="T142" t="n">
        <v>0</v>
      </c>
      <c r="U142" s="2" t="inlineStr"/>
    </row>
    <row r="143" ht="15" customHeight="1">
      <c r="A143" t="inlineStr">
        <is>
          <t>A 31900-2024</t>
        </is>
      </c>
      <c r="B143" t="inlineStr">
        <is>
          <t>avverkningsanmälan</t>
        </is>
      </c>
      <c r="C143" t="inlineStr">
        <is>
          <t>Föryngringsavverkning</t>
        </is>
      </c>
      <c r="D143" s="1" t="n">
        <v>45510</v>
      </c>
      <c r="E143" s="1" t="n">
        <v>46223</v>
      </c>
      <c r="F143" t="inlineStr">
        <is>
          <t>NORRBOTTENS LÄN</t>
        </is>
      </c>
      <c r="G143" t="inlineStr">
        <is>
          <t>ÄLVSBYN</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2751-2022</t>
        </is>
      </c>
      <c r="B144" t="inlineStr">
        <is>
          <t>avverkningsanmälan</t>
        </is>
      </c>
      <c r="C144" t="inlineStr">
        <is>
          <t>Föryngringsavverkning</t>
        </is>
      </c>
      <c r="D144" s="1" t="n">
        <v>44580</v>
      </c>
      <c r="E144" s="1" t="n">
        <v>46223</v>
      </c>
      <c r="F144" t="inlineStr">
        <is>
          <t>NORRBOTTENS LÄN</t>
        </is>
      </c>
      <c r="G144" t="inlineStr">
        <is>
          <t>ÄLVSBYN</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17094-2022</t>
        </is>
      </c>
      <c r="B145" t="inlineStr">
        <is>
          <t>avverkningsanmälan</t>
        </is>
      </c>
      <c r="C145" t="inlineStr">
        <is>
          <t>Föryngringsavverkning</t>
        </is>
      </c>
      <c r="D145" s="1" t="n">
        <v>44677</v>
      </c>
      <c r="E145" s="1" t="n">
        <v>46223</v>
      </c>
      <c r="F145" t="inlineStr">
        <is>
          <t>NORRBOTTENS LÄN</t>
        </is>
      </c>
      <c r="G145" t="inlineStr">
        <is>
          <t>ÄLVSBYN</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5069-2025</t>
        </is>
      </c>
      <c r="B146" t="inlineStr">
        <is>
          <t>avverkningsanmälan</t>
        </is>
      </c>
      <c r="C146" t="inlineStr">
        <is>
          <t>Föryngringsavverkning</t>
        </is>
      </c>
      <c r="D146" s="1" t="n">
        <v>45691</v>
      </c>
      <c r="E146" s="1" t="n">
        <v>46223</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38707-2025</t>
        </is>
      </c>
      <c r="B147" t="inlineStr">
        <is>
          <t>avverkningsanmälan</t>
        </is>
      </c>
      <c r="C147" t="inlineStr">
        <is>
          <t>Föryngringsavverkning</t>
        </is>
      </c>
      <c r="D147" s="1" t="n">
        <v>45885</v>
      </c>
      <c r="E147" s="1" t="n">
        <v>46223</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s="2" t="inlineStr"/>
    </row>
    <row r="148" ht="15" customHeight="1">
      <c r="A148" t="inlineStr">
        <is>
          <t>A 50744-2021</t>
        </is>
      </c>
      <c r="B148" t="inlineStr">
        <is>
          <t>avverkningsanmälan</t>
        </is>
      </c>
      <c r="C148" t="inlineStr">
        <is>
          <t>Föryngringsavverkning</t>
        </is>
      </c>
      <c r="D148" s="1" t="n">
        <v>44460</v>
      </c>
      <c r="E148" s="1" t="n">
        <v>46223</v>
      </c>
      <c r="F148" t="inlineStr">
        <is>
          <t>NORRBOTTENS LÄN</t>
        </is>
      </c>
      <c r="G148" t="inlineStr">
        <is>
          <t>ÄLVSBYN</t>
        </is>
      </c>
      <c r="I148" t="n">
        <v>3.5</v>
      </c>
      <c r="J148" t="n">
        <v>0</v>
      </c>
      <c r="K148" t="n">
        <v>0</v>
      </c>
      <c r="L148" t="n">
        <v>0</v>
      </c>
      <c r="M148" t="n">
        <v>0</v>
      </c>
      <c r="N148" t="n">
        <v>0</v>
      </c>
      <c r="O148" t="n">
        <v>0</v>
      </c>
      <c r="P148" t="n">
        <v>0</v>
      </c>
      <c r="Q148" t="n">
        <v>0</v>
      </c>
      <c r="R148" t="n">
        <v>0</v>
      </c>
      <c r="S148" t="n">
        <v>0</v>
      </c>
      <c r="T148" t="n">
        <v>0</v>
      </c>
      <c r="U148" s="2" t="inlineStr"/>
    </row>
    <row r="149" ht="15" customHeight="1">
      <c r="A149" t="inlineStr">
        <is>
          <t>A 57139-2024</t>
        </is>
      </c>
      <c r="B149" t="inlineStr">
        <is>
          <t>avverkningsanmälan</t>
        </is>
      </c>
      <c r="C149" t="inlineStr">
        <is>
          <t>Föryngringsavverkning</t>
        </is>
      </c>
      <c r="D149" s="1" t="n">
        <v>45629</v>
      </c>
      <c r="E149" s="1" t="n">
        <v>46223</v>
      </c>
      <c r="F149" t="inlineStr">
        <is>
          <t>NORRBOTTENS LÄN</t>
        </is>
      </c>
      <c r="G149" t="inlineStr">
        <is>
          <t>ÄLVSBYN</t>
        </is>
      </c>
      <c r="I149" t="n">
        <v>7.1</v>
      </c>
      <c r="J149" t="n">
        <v>0</v>
      </c>
      <c r="K149" t="n">
        <v>0</v>
      </c>
      <c r="L149" t="n">
        <v>0</v>
      </c>
      <c r="M149" t="n">
        <v>0</v>
      </c>
      <c r="N149" t="n">
        <v>0</v>
      </c>
      <c r="O149" t="n">
        <v>0</v>
      </c>
      <c r="P149" t="n">
        <v>0</v>
      </c>
      <c r="Q149" t="n">
        <v>0</v>
      </c>
      <c r="R149" t="n">
        <v>0</v>
      </c>
      <c r="S149" t="n">
        <v>0</v>
      </c>
      <c r="T149" t="n">
        <v>0</v>
      </c>
      <c r="U149" s="2" t="inlineStr"/>
    </row>
    <row r="150" ht="15" customHeight="1">
      <c r="A150" t="inlineStr">
        <is>
          <t>A 42477-2024</t>
        </is>
      </c>
      <c r="B150" t="inlineStr">
        <is>
          <t>avverkningsanmälan</t>
        </is>
      </c>
      <c r="C150" t="inlineStr">
        <is>
          <t>Avverkning för annat ändamål</t>
        </is>
      </c>
      <c r="D150" s="1" t="n">
        <v>45565</v>
      </c>
      <c r="E150" s="1" t="n">
        <v>46223</v>
      </c>
      <c r="F150" t="inlineStr">
        <is>
          <t>NORRBOTTENS LÄN</t>
        </is>
      </c>
      <c r="G150" t="inlineStr">
        <is>
          <t>ÄLVSBYN</t>
        </is>
      </c>
      <c r="H150" t="inlineStr">
        <is>
          <t>SCA</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29022-2025</t>
        </is>
      </c>
      <c r="B151" t="inlineStr">
        <is>
          <t>avverkningsanmälan</t>
        </is>
      </c>
      <c r="C151" t="inlineStr">
        <is>
          <t>Föryngringsavverkning</t>
        </is>
      </c>
      <c r="D151" s="1" t="n">
        <v>45821</v>
      </c>
      <c r="E151" s="1" t="n">
        <v>46223</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60403-2022</t>
        </is>
      </c>
      <c r="B152" t="inlineStr">
        <is>
          <t>avverkningsanmälan</t>
        </is>
      </c>
      <c r="C152" t="inlineStr">
        <is>
          <t>Föryngringsavverkning</t>
        </is>
      </c>
      <c r="D152" s="1" t="n">
        <v>44910</v>
      </c>
      <c r="E152" s="1" t="n">
        <v>46223</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31452-2024</t>
        </is>
      </c>
      <c r="B153" t="inlineStr">
        <is>
          <t>avverkningsanmälan</t>
        </is>
      </c>
      <c r="C153" t="inlineStr">
        <is>
          <t>Avverkning för annat ändamål</t>
        </is>
      </c>
      <c r="D153" s="1" t="n">
        <v>45505</v>
      </c>
      <c r="E153" s="1" t="n">
        <v>46223</v>
      </c>
      <c r="F153" t="inlineStr">
        <is>
          <t>NORRBOTTENS LÄN</t>
        </is>
      </c>
      <c r="G153" t="inlineStr">
        <is>
          <t>ÄLVSBYN</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9618-2022</t>
        </is>
      </c>
      <c r="B154" t="inlineStr">
        <is>
          <t>avverkningsanmälan</t>
        </is>
      </c>
      <c r="C154" t="inlineStr">
        <is>
          <t>Föryngringsavverkning</t>
        </is>
      </c>
      <c r="D154" s="1" t="n">
        <v>44617</v>
      </c>
      <c r="E154" s="1" t="n">
        <v>46223</v>
      </c>
      <c r="F154" t="inlineStr">
        <is>
          <t>NORRBOTTENS LÄN</t>
        </is>
      </c>
      <c r="G154" t="inlineStr">
        <is>
          <t>ÄLVSBYN</t>
        </is>
      </c>
      <c r="I154" t="n">
        <v>5.6</v>
      </c>
      <c r="J154" t="n">
        <v>0</v>
      </c>
      <c r="K154" t="n">
        <v>0</v>
      </c>
      <c r="L154" t="n">
        <v>0</v>
      </c>
      <c r="M154" t="n">
        <v>0</v>
      </c>
      <c r="N154" t="n">
        <v>0</v>
      </c>
      <c r="O154" t="n">
        <v>0</v>
      </c>
      <c r="P154" t="n">
        <v>0</v>
      </c>
      <c r="Q154" t="n">
        <v>0</v>
      </c>
      <c r="R154" t="n">
        <v>0</v>
      </c>
      <c r="S154" t="n">
        <v>0</v>
      </c>
      <c r="T154" t="n">
        <v>0</v>
      </c>
      <c r="U154" s="2" t="inlineStr"/>
    </row>
    <row r="155" ht="15" customHeight="1">
      <c r="A155" t="inlineStr">
        <is>
          <t>A 2595-2023</t>
        </is>
      </c>
      <c r="B155" t="inlineStr">
        <is>
          <t>avverkningsanmälan</t>
        </is>
      </c>
      <c r="C155" t="inlineStr">
        <is>
          <t>Föryngringsavverkning</t>
        </is>
      </c>
      <c r="D155" s="1" t="n">
        <v>44943</v>
      </c>
      <c r="E155" s="1" t="n">
        <v>46223</v>
      </c>
      <c r="F155" t="inlineStr">
        <is>
          <t>NORRBOTTENS LÄN</t>
        </is>
      </c>
      <c r="G155" t="inlineStr">
        <is>
          <t>ÄLVSBYN</t>
        </is>
      </c>
      <c r="H155" t="inlineStr">
        <is>
          <t>SCA</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40359-2025</t>
        </is>
      </c>
      <c r="B156" t="inlineStr">
        <is>
          <t>avverkningsanmälan</t>
        </is>
      </c>
      <c r="C156" t="inlineStr">
        <is>
          <t>Föryngringsavverkning</t>
        </is>
      </c>
      <c r="D156" s="1" t="n">
        <v>45895</v>
      </c>
      <c r="E156" s="1" t="n">
        <v>46223</v>
      </c>
      <c r="F156" t="inlineStr">
        <is>
          <t>NORRBOTTENS LÄN</t>
        </is>
      </c>
      <c r="G156" t="inlineStr">
        <is>
          <t>ÄLVSBYN</t>
        </is>
      </c>
      <c r="H156" t="inlineStr">
        <is>
          <t>SCA</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40506-2025</t>
        </is>
      </c>
      <c r="B157" t="inlineStr">
        <is>
          <t>avverkningsanmälan</t>
        </is>
      </c>
      <c r="C157" t="inlineStr">
        <is>
          <t>Föryngringsavverkning</t>
        </is>
      </c>
      <c r="D157" s="1" t="n">
        <v>45896</v>
      </c>
      <c r="E157" s="1" t="n">
        <v>46223</v>
      </c>
      <c r="F157" t="inlineStr">
        <is>
          <t>NORRBOTTENS LÄN</t>
        </is>
      </c>
      <c r="G157" t="inlineStr">
        <is>
          <t>ÄLVSBYN</t>
        </is>
      </c>
      <c r="H157" t="inlineStr">
        <is>
          <t>SCA</t>
        </is>
      </c>
      <c r="I157" t="n">
        <v>4.9</v>
      </c>
      <c r="J157" t="n">
        <v>0</v>
      </c>
      <c r="K157" t="n">
        <v>0</v>
      </c>
      <c r="L157" t="n">
        <v>0</v>
      </c>
      <c r="M157" t="n">
        <v>0</v>
      </c>
      <c r="N157" t="n">
        <v>0</v>
      </c>
      <c r="O157" t="n">
        <v>0</v>
      </c>
      <c r="P157" t="n">
        <v>0</v>
      </c>
      <c r="Q157" t="n">
        <v>0</v>
      </c>
      <c r="R157" t="n">
        <v>0</v>
      </c>
      <c r="S157" t="n">
        <v>0</v>
      </c>
      <c r="T157" t="n">
        <v>0</v>
      </c>
      <c r="U157" s="2" t="inlineStr"/>
    </row>
    <row r="158" ht="15" customHeight="1">
      <c r="A158" t="inlineStr">
        <is>
          <t>A 40509-2025</t>
        </is>
      </c>
      <c r="B158" t="inlineStr">
        <is>
          <t>avverkningsanmälan</t>
        </is>
      </c>
      <c r="C158" t="inlineStr">
        <is>
          <t>Föryngringsavverkning</t>
        </is>
      </c>
      <c r="D158" s="1" t="n">
        <v>45896</v>
      </c>
      <c r="E158" s="1" t="n">
        <v>46223</v>
      </c>
      <c r="F158" t="inlineStr">
        <is>
          <t>NORRBOTTENS LÄN</t>
        </is>
      </c>
      <c r="G158" t="inlineStr">
        <is>
          <t>ÄLVSBYN</t>
        </is>
      </c>
      <c r="H158" t="inlineStr">
        <is>
          <t>SCA</t>
        </is>
      </c>
      <c r="I158" t="n">
        <v>6.4</v>
      </c>
      <c r="J158" t="n">
        <v>0</v>
      </c>
      <c r="K158" t="n">
        <v>0</v>
      </c>
      <c r="L158" t="n">
        <v>0</v>
      </c>
      <c r="M158" t="n">
        <v>0</v>
      </c>
      <c r="N158" t="n">
        <v>0</v>
      </c>
      <c r="O158" t="n">
        <v>0</v>
      </c>
      <c r="P158" t="n">
        <v>0</v>
      </c>
      <c r="Q158" t="n">
        <v>0</v>
      </c>
      <c r="R158" t="n">
        <v>0</v>
      </c>
      <c r="S158" t="n">
        <v>0</v>
      </c>
      <c r="T158" t="n">
        <v>0</v>
      </c>
      <c r="U158" s="2" t="inlineStr"/>
    </row>
    <row r="159" ht="15" customHeight="1">
      <c r="A159" t="inlineStr">
        <is>
          <t>A 58919-2023</t>
        </is>
      </c>
      <c r="B159" t="inlineStr">
        <is>
          <t>avverkningsanmälan</t>
        </is>
      </c>
      <c r="C159" t="inlineStr">
        <is>
          <t>Föryngringsavverkning</t>
        </is>
      </c>
      <c r="D159" s="1" t="n">
        <v>45252</v>
      </c>
      <c r="E159" s="1" t="n">
        <v>46223</v>
      </c>
      <c r="F159" t="inlineStr">
        <is>
          <t>NORRBOTTENS LÄN</t>
        </is>
      </c>
      <c r="G159" t="inlineStr">
        <is>
          <t>ÄLVSBYN</t>
        </is>
      </c>
      <c r="I159" t="n">
        <v>25.1</v>
      </c>
      <c r="J159" t="n">
        <v>0</v>
      </c>
      <c r="K159" t="n">
        <v>0</v>
      </c>
      <c r="L159" t="n">
        <v>0</v>
      </c>
      <c r="M159" t="n">
        <v>0</v>
      </c>
      <c r="N159" t="n">
        <v>0</v>
      </c>
      <c r="O159" t="n">
        <v>0</v>
      </c>
      <c r="P159" t="n">
        <v>0</v>
      </c>
      <c r="Q159" t="n">
        <v>0</v>
      </c>
      <c r="R159" t="n">
        <v>0</v>
      </c>
      <c r="S159" t="n">
        <v>0</v>
      </c>
      <c r="T159" t="n">
        <v>0</v>
      </c>
      <c r="U159" s="2" t="inlineStr"/>
    </row>
    <row r="160" ht="15" customHeight="1">
      <c r="A160" t="inlineStr">
        <is>
          <t>A 30147-2025</t>
        </is>
      </c>
      <c r="B160" t="inlineStr">
        <is>
          <t>avverkningsanmälan</t>
        </is>
      </c>
      <c r="C160" t="inlineStr">
        <is>
          <t>Föryngringsavverkning</t>
        </is>
      </c>
      <c r="D160" s="1" t="n">
        <v>45827</v>
      </c>
      <c r="E160" s="1" t="n">
        <v>46223</v>
      </c>
      <c r="F160" t="inlineStr">
        <is>
          <t>NORRBOTTENS LÄN</t>
        </is>
      </c>
      <c r="G160" t="inlineStr">
        <is>
          <t>ÄLVSBYN</t>
        </is>
      </c>
      <c r="H160" t="inlineStr">
        <is>
          <t>Sveaskog</t>
        </is>
      </c>
      <c r="I160" t="n">
        <v>5.9</v>
      </c>
      <c r="J160" t="n">
        <v>0</v>
      </c>
      <c r="K160" t="n">
        <v>0</v>
      </c>
      <c r="L160" t="n">
        <v>0</v>
      </c>
      <c r="M160" t="n">
        <v>0</v>
      </c>
      <c r="N160" t="n">
        <v>0</v>
      </c>
      <c r="O160" t="n">
        <v>0</v>
      </c>
      <c r="P160" t="n">
        <v>0</v>
      </c>
      <c r="Q160" t="n">
        <v>0</v>
      </c>
      <c r="R160" t="n">
        <v>0</v>
      </c>
      <c r="S160" t="n">
        <v>0</v>
      </c>
      <c r="T160" t="n">
        <v>0</v>
      </c>
      <c r="U160" s="2" t="inlineStr"/>
    </row>
    <row r="161" ht="15" customHeight="1">
      <c r="A161" t="inlineStr">
        <is>
          <t>A 30526-2025</t>
        </is>
      </c>
      <c r="B161" t="inlineStr">
        <is>
          <t>avverkningsanmälan</t>
        </is>
      </c>
      <c r="C161" t="inlineStr">
        <is>
          <t>Föryngringsavverkning</t>
        </is>
      </c>
      <c r="D161" s="1" t="n">
        <v>45831</v>
      </c>
      <c r="E161" s="1" t="n">
        <v>46223</v>
      </c>
      <c r="F161" t="inlineStr">
        <is>
          <t>NORRBOTTENS LÄN</t>
        </is>
      </c>
      <c r="G161" t="inlineStr">
        <is>
          <t>ÄLVSBYN</t>
        </is>
      </c>
      <c r="H161" t="inlineStr">
        <is>
          <t>Sveaskog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31565-2025</t>
        </is>
      </c>
      <c r="B162" t="inlineStr">
        <is>
          <t>avverkningsanmälan</t>
        </is>
      </c>
      <c r="C162" t="inlineStr">
        <is>
          <t>Avverkning för annat ändamål</t>
        </is>
      </c>
      <c r="D162" s="1" t="n">
        <v>45833</v>
      </c>
      <c r="E162" s="1" t="n">
        <v>46223</v>
      </c>
      <c r="F162" t="inlineStr">
        <is>
          <t>NORRBOTTENS LÄN</t>
        </is>
      </c>
      <c r="G162" t="inlineStr">
        <is>
          <t>ÄLVSBYN</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5333-2026</t>
        </is>
      </c>
      <c r="B163" t="inlineStr">
        <is>
          <t>avverkningsanmälan</t>
        </is>
      </c>
      <c r="C163" t="inlineStr">
        <is>
          <t>Föryngringsavverkning</t>
        </is>
      </c>
      <c r="D163" s="1" t="n">
        <v>46050</v>
      </c>
      <c r="E163" s="1" t="n">
        <v>46223</v>
      </c>
      <c r="F163" t="inlineStr">
        <is>
          <t>NORRBOTTENS LÄN</t>
        </is>
      </c>
      <c r="G163" t="inlineStr">
        <is>
          <t>ÄLVSBYN</t>
        </is>
      </c>
      <c r="H163" t="inlineStr">
        <is>
          <t>SCA</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7266-2024</t>
        </is>
      </c>
      <c r="B164" t="inlineStr">
        <is>
          <t>avverkningsanmälan</t>
        </is>
      </c>
      <c r="C164" t="inlineStr">
        <is>
          <t>Föryngringsavverkning</t>
        </is>
      </c>
      <c r="D164" s="1" t="n">
        <v>45344</v>
      </c>
      <c r="E164" s="1" t="n">
        <v>46223</v>
      </c>
      <c r="F164" t="inlineStr">
        <is>
          <t>NORRBOTTENS LÄN</t>
        </is>
      </c>
      <c r="G164" t="inlineStr">
        <is>
          <t>ÄLVSBYN</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44378-2025</t>
        </is>
      </c>
      <c r="B165" t="inlineStr">
        <is>
          <t>avverkningsanmälan</t>
        </is>
      </c>
      <c r="C165" t="inlineStr">
        <is>
          <t>Föryngringsavverkning</t>
        </is>
      </c>
      <c r="D165" s="1" t="n">
        <v>45916</v>
      </c>
      <c r="E165" s="1" t="n">
        <v>46223</v>
      </c>
      <c r="F165" t="inlineStr">
        <is>
          <t>NORRBOTTENS LÄN</t>
        </is>
      </c>
      <c r="G165" t="inlineStr">
        <is>
          <t>ÄLVSBYN</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44375-2025</t>
        </is>
      </c>
      <c r="B166" t="inlineStr">
        <is>
          <t>avverkningsanmälan</t>
        </is>
      </c>
      <c r="C166" t="inlineStr">
        <is>
          <t>Föryngringsavverkning</t>
        </is>
      </c>
      <c r="D166" s="1" t="n">
        <v>45916</v>
      </c>
      <c r="E166" s="1" t="n">
        <v>46223</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46784-2024</t>
        </is>
      </c>
      <c r="B167" t="inlineStr">
        <is>
          <t>avverkningsanmälan</t>
        </is>
      </c>
      <c r="C167" t="inlineStr">
        <is>
          <t>Föryngringsavverkning</t>
        </is>
      </c>
      <c r="D167" s="1" t="n">
        <v>45583</v>
      </c>
      <c r="E167" s="1" t="n">
        <v>46223</v>
      </c>
      <c r="F167" t="inlineStr">
        <is>
          <t>NORRBOTTENS LÄN</t>
        </is>
      </c>
      <c r="G167" t="inlineStr">
        <is>
          <t>ÄLVSBYN</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45186-2025</t>
        </is>
      </c>
      <c r="B168" t="inlineStr">
        <is>
          <t>avverkningsanmälan</t>
        </is>
      </c>
      <c r="C168" t="inlineStr">
        <is>
          <t>Föryngringsavverkning</t>
        </is>
      </c>
      <c r="D168" s="1" t="n">
        <v>45919</v>
      </c>
      <c r="E168" s="1" t="n">
        <v>46223</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45182-2025</t>
        </is>
      </c>
      <c r="B169" t="inlineStr">
        <is>
          <t>avverkningsanmälan</t>
        </is>
      </c>
      <c r="C169" t="inlineStr">
        <is>
          <t>Föryngringsavverkning</t>
        </is>
      </c>
      <c r="D169" s="1" t="n">
        <v>45919</v>
      </c>
      <c r="E169" s="1" t="n">
        <v>46223</v>
      </c>
      <c r="F169" t="inlineStr">
        <is>
          <t>NORRBOTTENS LÄN</t>
        </is>
      </c>
      <c r="G169" t="inlineStr">
        <is>
          <t>ÄLVSBYN</t>
        </is>
      </c>
      <c r="I169" t="n">
        <v>9.800000000000001</v>
      </c>
      <c r="J169" t="n">
        <v>0</v>
      </c>
      <c r="K169" t="n">
        <v>0</v>
      </c>
      <c r="L169" t="n">
        <v>0</v>
      </c>
      <c r="M169" t="n">
        <v>0</v>
      </c>
      <c r="N169" t="n">
        <v>0</v>
      </c>
      <c r="O169" t="n">
        <v>0</v>
      </c>
      <c r="P169" t="n">
        <v>0</v>
      </c>
      <c r="Q169" t="n">
        <v>0</v>
      </c>
      <c r="R169" t="n">
        <v>0</v>
      </c>
      <c r="S169" t="n">
        <v>0</v>
      </c>
      <c r="T169" t="n">
        <v>0</v>
      </c>
      <c r="U169" s="2" t="inlineStr"/>
    </row>
    <row r="170" ht="15" customHeight="1">
      <c r="A170" t="inlineStr">
        <is>
          <t>A 6366-2026</t>
        </is>
      </c>
      <c r="B170" t="inlineStr">
        <is>
          <t>avverkningsanmälan</t>
        </is>
      </c>
      <c r="C170" t="inlineStr">
        <is>
          <t>Föryngringsavverkning</t>
        </is>
      </c>
      <c r="D170" s="1" t="n">
        <v>46055</v>
      </c>
      <c r="E170" s="1" t="n">
        <v>46223</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25455-2022</t>
        </is>
      </c>
      <c r="B171" t="inlineStr">
        <is>
          <t>avverkningsanmälan</t>
        </is>
      </c>
      <c r="C171" t="inlineStr">
        <is>
          <t>Föryngringsavverkning</t>
        </is>
      </c>
      <c r="D171" s="1" t="n">
        <v>44732</v>
      </c>
      <c r="E171" s="1" t="n">
        <v>46223</v>
      </c>
      <c r="F171" t="inlineStr">
        <is>
          <t>NORRBOTTENS LÄN</t>
        </is>
      </c>
      <c r="G171" t="inlineStr">
        <is>
          <t>ÄLVSBYN</t>
        </is>
      </c>
      <c r="I171" t="n">
        <v>3.5</v>
      </c>
      <c r="J171" t="n">
        <v>0</v>
      </c>
      <c r="K171" t="n">
        <v>0</v>
      </c>
      <c r="L171" t="n">
        <v>0</v>
      </c>
      <c r="M171" t="n">
        <v>0</v>
      </c>
      <c r="N171" t="n">
        <v>0</v>
      </c>
      <c r="O171" t="n">
        <v>0</v>
      </c>
      <c r="P171" t="n">
        <v>0</v>
      </c>
      <c r="Q171" t="n">
        <v>0</v>
      </c>
      <c r="R171" t="n">
        <v>0</v>
      </c>
      <c r="S171" t="n">
        <v>0</v>
      </c>
      <c r="T171" t="n">
        <v>0</v>
      </c>
      <c r="U171" s="2" t="inlineStr"/>
    </row>
    <row r="172" ht="15" customHeight="1">
      <c r="A172" t="inlineStr">
        <is>
          <t>A 46400-2025</t>
        </is>
      </c>
      <c r="B172" t="inlineStr">
        <is>
          <t>avverkningsanmälan</t>
        </is>
      </c>
      <c r="C172" t="inlineStr">
        <is>
          <t>Föryngringsavverkning</t>
        </is>
      </c>
      <c r="D172" s="1" t="n">
        <v>45925</v>
      </c>
      <c r="E172" s="1" t="n">
        <v>46223</v>
      </c>
      <c r="F172" t="inlineStr">
        <is>
          <t>NORRBOTTENS LÄN</t>
        </is>
      </c>
      <c r="G172" t="inlineStr">
        <is>
          <t>ÄLVSBYN</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46401-2025</t>
        </is>
      </c>
      <c r="B173" t="inlineStr">
        <is>
          <t>avverkningsanmälan</t>
        </is>
      </c>
      <c r="C173" t="inlineStr">
        <is>
          <t>Föryngringsavverkning</t>
        </is>
      </c>
      <c r="D173" s="1" t="n">
        <v>45925</v>
      </c>
      <c r="E173" s="1" t="n">
        <v>46223</v>
      </c>
      <c r="F173" t="inlineStr">
        <is>
          <t>NORRBOTTENS LÄN</t>
        </is>
      </c>
      <c r="G173" t="inlineStr">
        <is>
          <t>ÄLVSBYN</t>
        </is>
      </c>
      <c r="I173" t="n">
        <v>4.8</v>
      </c>
      <c r="J173" t="n">
        <v>0</v>
      </c>
      <c r="K173" t="n">
        <v>0</v>
      </c>
      <c r="L173" t="n">
        <v>0</v>
      </c>
      <c r="M173" t="n">
        <v>0</v>
      </c>
      <c r="N173" t="n">
        <v>0</v>
      </c>
      <c r="O173" t="n">
        <v>0</v>
      </c>
      <c r="P173" t="n">
        <v>0</v>
      </c>
      <c r="Q173" t="n">
        <v>0</v>
      </c>
      <c r="R173" t="n">
        <v>0</v>
      </c>
      <c r="S173" t="n">
        <v>0</v>
      </c>
      <c r="T173" t="n">
        <v>0</v>
      </c>
      <c r="U173" s="2" t="inlineStr"/>
    </row>
    <row r="174" ht="15" customHeight="1">
      <c r="A174" t="inlineStr">
        <is>
          <t>A 46981-2025</t>
        </is>
      </c>
      <c r="B174" t="inlineStr">
        <is>
          <t>avverkningsanmälan</t>
        </is>
      </c>
      <c r="C174" t="inlineStr">
        <is>
          <t>Föryngringsavverkning</t>
        </is>
      </c>
      <c r="D174" s="1" t="n">
        <v>45929</v>
      </c>
      <c r="E174" s="1" t="n">
        <v>46223</v>
      </c>
      <c r="F174" t="inlineStr">
        <is>
          <t>NORRBOTTENS LÄN</t>
        </is>
      </c>
      <c r="G174" t="inlineStr">
        <is>
          <t>ÄLVSBYN</t>
        </is>
      </c>
      <c r="H174" t="inlineStr">
        <is>
          <t>SCA</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47121-2022</t>
        </is>
      </c>
      <c r="B175" t="inlineStr">
        <is>
          <t>avverkningsanmälan</t>
        </is>
      </c>
      <c r="C175" t="inlineStr">
        <is>
          <t>Föryngringsavverkning</t>
        </is>
      </c>
      <c r="D175" s="1" t="n">
        <v>44851</v>
      </c>
      <c r="E175" s="1" t="n">
        <v>46223</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47842-2025</t>
        </is>
      </c>
      <c r="B176" t="inlineStr">
        <is>
          <t>avverkningsanmälan</t>
        </is>
      </c>
      <c r="C176" t="inlineStr">
        <is>
          <t>Föryngringsavverkning</t>
        </is>
      </c>
      <c r="D176" s="1" t="n">
        <v>45932</v>
      </c>
      <c r="E176" s="1" t="n">
        <v>46223</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s="2" t="inlineStr"/>
    </row>
    <row r="177" ht="15" customHeight="1">
      <c r="A177" t="inlineStr">
        <is>
          <t>A 27277-2022</t>
        </is>
      </c>
      <c r="B177" t="inlineStr">
        <is>
          <t>avverkningsanmälan</t>
        </is>
      </c>
      <c r="C177" t="inlineStr">
        <is>
          <t>Föryngringsavverkning</t>
        </is>
      </c>
      <c r="D177" s="1" t="n">
        <v>44741</v>
      </c>
      <c r="E177" s="1" t="n">
        <v>46223</v>
      </c>
      <c r="F177" t="inlineStr">
        <is>
          <t>NORRBOTTENS LÄN</t>
        </is>
      </c>
      <c r="G177" t="inlineStr">
        <is>
          <t>ÄLVSBYN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35803-2025</t>
        </is>
      </c>
      <c r="B178" t="inlineStr">
        <is>
          <t>avverkningsanmälan</t>
        </is>
      </c>
      <c r="C178" t="inlineStr">
        <is>
          <t>Föryngringsavverkning</t>
        </is>
      </c>
      <c r="D178" s="1" t="n">
        <v>45861</v>
      </c>
      <c r="E178" s="1" t="n">
        <v>46223</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s="2" t="inlineStr"/>
    </row>
    <row r="179" ht="15" customHeight="1">
      <c r="A179" t="inlineStr">
        <is>
          <t>A 51912-2021</t>
        </is>
      </c>
      <c r="B179" t="inlineStr">
        <is>
          <t>avverkningsanmälan</t>
        </is>
      </c>
      <c r="C179" t="inlineStr">
        <is>
          <t>Föryngringsavverkning</t>
        </is>
      </c>
      <c r="D179" s="1" t="n">
        <v>44462</v>
      </c>
      <c r="E179" s="1" t="n">
        <v>46223</v>
      </c>
      <c r="F179" t="inlineStr">
        <is>
          <t>NORRBOTTENS LÄN</t>
        </is>
      </c>
      <c r="G179" t="inlineStr">
        <is>
          <t>ÄLVSBYN</t>
        </is>
      </c>
      <c r="I179" t="n">
        <v>26.5</v>
      </c>
      <c r="J179" t="n">
        <v>0</v>
      </c>
      <c r="K179" t="n">
        <v>0</v>
      </c>
      <c r="L179" t="n">
        <v>0</v>
      </c>
      <c r="M179" t="n">
        <v>0</v>
      </c>
      <c r="N179" t="n">
        <v>0</v>
      </c>
      <c r="O179" t="n">
        <v>0</v>
      </c>
      <c r="P179" t="n">
        <v>0</v>
      </c>
      <c r="Q179" t="n">
        <v>0</v>
      </c>
      <c r="R179" t="n">
        <v>0</v>
      </c>
      <c r="S179" t="n">
        <v>0</v>
      </c>
      <c r="T179" t="n">
        <v>0</v>
      </c>
      <c r="U179" s="2" t="inlineStr"/>
    </row>
    <row r="180" ht="15" customHeight="1">
      <c r="A180" t="inlineStr">
        <is>
          <t>A 47527-2025</t>
        </is>
      </c>
      <c r="B180" t="inlineStr">
        <is>
          <t>avverkningsanmälan</t>
        </is>
      </c>
      <c r="C180" t="inlineStr">
        <is>
          <t>Föryngringsavverkning</t>
        </is>
      </c>
      <c r="D180" s="1" t="n">
        <v>45931</v>
      </c>
      <c r="E180" s="1" t="n">
        <v>46223</v>
      </c>
      <c r="F180" t="inlineStr">
        <is>
          <t>NORRBOTTENS LÄN</t>
        </is>
      </c>
      <c r="G180" t="inlineStr">
        <is>
          <t>ÄLVSBYN</t>
        </is>
      </c>
      <c r="H180" t="inlineStr">
        <is>
          <t>SCA</t>
        </is>
      </c>
      <c r="I180" t="n">
        <v>8.9</v>
      </c>
      <c r="J180" t="n">
        <v>0</v>
      </c>
      <c r="K180" t="n">
        <v>0</v>
      </c>
      <c r="L180" t="n">
        <v>0</v>
      </c>
      <c r="M180" t="n">
        <v>0</v>
      </c>
      <c r="N180" t="n">
        <v>0</v>
      </c>
      <c r="O180" t="n">
        <v>0</v>
      </c>
      <c r="P180" t="n">
        <v>0</v>
      </c>
      <c r="Q180" t="n">
        <v>0</v>
      </c>
      <c r="R180" t="n">
        <v>0</v>
      </c>
      <c r="S180" t="n">
        <v>0</v>
      </c>
      <c r="T180" t="n">
        <v>0</v>
      </c>
      <c r="U180" s="2" t="inlineStr"/>
    </row>
    <row r="181" ht="15" customHeight="1">
      <c r="A181" t="inlineStr">
        <is>
          <t>A 48287-2025</t>
        </is>
      </c>
      <c r="B181" t="inlineStr">
        <is>
          <t>avverkningsanmälan</t>
        </is>
      </c>
      <c r="C181" t="inlineStr">
        <is>
          <t>Föryngringsavverkning</t>
        </is>
      </c>
      <c r="D181" s="1" t="n">
        <v>45933</v>
      </c>
      <c r="E181" s="1" t="n">
        <v>46223</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48522-2025</t>
        </is>
      </c>
      <c r="B182" t="inlineStr">
        <is>
          <t>avverkningsanmälan</t>
        </is>
      </c>
      <c r="C182" t="inlineStr">
        <is>
          <t>Föryngringsavverkning</t>
        </is>
      </c>
      <c r="D182" s="1" t="n">
        <v>45936</v>
      </c>
      <c r="E182" s="1" t="n">
        <v>46223</v>
      </c>
      <c r="F182" t="inlineStr">
        <is>
          <t>NORRBOTTENS LÄN</t>
        </is>
      </c>
      <c r="G182" t="inlineStr">
        <is>
          <t>ÄLVSBYN</t>
        </is>
      </c>
      <c r="I182" t="n">
        <v>3.8</v>
      </c>
      <c r="J182" t="n">
        <v>0</v>
      </c>
      <c r="K182" t="n">
        <v>0</v>
      </c>
      <c r="L182" t="n">
        <v>0</v>
      </c>
      <c r="M182" t="n">
        <v>0</v>
      </c>
      <c r="N182" t="n">
        <v>0</v>
      </c>
      <c r="O182" t="n">
        <v>0</v>
      </c>
      <c r="P182" t="n">
        <v>0</v>
      </c>
      <c r="Q182" t="n">
        <v>0</v>
      </c>
      <c r="R182" t="n">
        <v>0</v>
      </c>
      <c r="S182" t="n">
        <v>0</v>
      </c>
      <c r="T182" t="n">
        <v>0</v>
      </c>
      <c r="U182" s="2" t="inlineStr"/>
    </row>
    <row r="183" ht="15" customHeight="1">
      <c r="A183" t="inlineStr">
        <is>
          <t>A 36464-2025</t>
        </is>
      </c>
      <c r="B183" t="inlineStr">
        <is>
          <t>avverkningsanmälan</t>
        </is>
      </c>
      <c r="C183" t="inlineStr">
        <is>
          <t>Föryngringsavverkning</t>
        </is>
      </c>
      <c r="D183" s="1" t="n">
        <v>45869</v>
      </c>
      <c r="E183" s="1" t="n">
        <v>46223</v>
      </c>
      <c r="F183" t="inlineStr">
        <is>
          <t>NORRBOTTENS LÄN</t>
        </is>
      </c>
      <c r="G183" t="inlineStr">
        <is>
          <t>ÄLVSBYN</t>
        </is>
      </c>
      <c r="I183" t="n">
        <v>10.6</v>
      </c>
      <c r="J183" t="n">
        <v>0</v>
      </c>
      <c r="K183" t="n">
        <v>0</v>
      </c>
      <c r="L183" t="n">
        <v>0</v>
      </c>
      <c r="M183" t="n">
        <v>0</v>
      </c>
      <c r="N183" t="n">
        <v>0</v>
      </c>
      <c r="O183" t="n">
        <v>0</v>
      </c>
      <c r="P183" t="n">
        <v>0</v>
      </c>
      <c r="Q183" t="n">
        <v>0</v>
      </c>
      <c r="R183" t="n">
        <v>0</v>
      </c>
      <c r="S183" t="n">
        <v>0</v>
      </c>
      <c r="T183" t="n">
        <v>0</v>
      </c>
      <c r="U183" s="2" t="inlineStr"/>
    </row>
    <row r="184" ht="15" customHeight="1">
      <c r="A184" t="inlineStr">
        <is>
          <t>A 7124-2026</t>
        </is>
      </c>
      <c r="B184" t="inlineStr">
        <is>
          <t>avverkningsanmälan</t>
        </is>
      </c>
      <c r="C184" t="inlineStr">
        <is>
          <t>Föryngringsavverkning</t>
        </is>
      </c>
      <c r="D184" s="1" t="n">
        <v>46058</v>
      </c>
      <c r="E184" s="1" t="n">
        <v>46223</v>
      </c>
      <c r="F184" t="inlineStr">
        <is>
          <t>NORRBOTTENS LÄN</t>
        </is>
      </c>
      <c r="G184" t="inlineStr">
        <is>
          <t>ÄLVSBYN</t>
        </is>
      </c>
      <c r="I184" t="n">
        <v>9.4</v>
      </c>
      <c r="J184" t="n">
        <v>0</v>
      </c>
      <c r="K184" t="n">
        <v>0</v>
      </c>
      <c r="L184" t="n">
        <v>0</v>
      </c>
      <c r="M184" t="n">
        <v>0</v>
      </c>
      <c r="N184" t="n">
        <v>0</v>
      </c>
      <c r="O184" t="n">
        <v>0</v>
      </c>
      <c r="P184" t="n">
        <v>0</v>
      </c>
      <c r="Q184" t="n">
        <v>0</v>
      </c>
      <c r="R184" t="n">
        <v>0</v>
      </c>
      <c r="S184" t="n">
        <v>0</v>
      </c>
      <c r="T184" t="n">
        <v>0</v>
      </c>
      <c r="U184" s="2" t="inlineStr"/>
    </row>
    <row r="185" ht="15" customHeight="1">
      <c r="A185" t="inlineStr">
        <is>
          <t>A 36929-2025</t>
        </is>
      </c>
      <c r="B185" t="inlineStr">
        <is>
          <t>avverkningsanmälan</t>
        </is>
      </c>
      <c r="C185" t="inlineStr">
        <is>
          <t>Föryngringsavverkning</t>
        </is>
      </c>
      <c r="D185" s="1" t="n">
        <v>45874</v>
      </c>
      <c r="E185" s="1" t="n">
        <v>46223</v>
      </c>
      <c r="F185" t="inlineStr">
        <is>
          <t>NORRBOTTENS LÄN</t>
        </is>
      </c>
      <c r="G185" t="inlineStr">
        <is>
          <t>ÄLVSBYN</t>
        </is>
      </c>
      <c r="H185" t="inlineStr">
        <is>
          <t>SCA</t>
        </is>
      </c>
      <c r="I185" t="n">
        <v>21.8</v>
      </c>
      <c r="J185" t="n">
        <v>0</v>
      </c>
      <c r="K185" t="n">
        <v>0</v>
      </c>
      <c r="L185" t="n">
        <v>0</v>
      </c>
      <c r="M185" t="n">
        <v>0</v>
      </c>
      <c r="N185" t="n">
        <v>0</v>
      </c>
      <c r="O185" t="n">
        <v>0</v>
      </c>
      <c r="P185" t="n">
        <v>0</v>
      </c>
      <c r="Q185" t="n">
        <v>0</v>
      </c>
      <c r="R185" t="n">
        <v>0</v>
      </c>
      <c r="S185" t="n">
        <v>0</v>
      </c>
      <c r="T185" t="n">
        <v>0</v>
      </c>
      <c r="U185" s="2" t="inlineStr"/>
    </row>
    <row r="186" ht="15" customHeight="1">
      <c r="A186" t="inlineStr">
        <is>
          <t>A 49402-2025</t>
        </is>
      </c>
      <c r="B186" t="inlineStr">
        <is>
          <t>avverkningsanmälan</t>
        </is>
      </c>
      <c r="C186" t="inlineStr">
        <is>
          <t>Föryngringsavverkning</t>
        </is>
      </c>
      <c r="D186" s="1" t="n">
        <v>45938</v>
      </c>
      <c r="E186" s="1" t="n">
        <v>46223</v>
      </c>
      <c r="F186" t="inlineStr">
        <is>
          <t>NORRBOTTENS LÄN</t>
        </is>
      </c>
      <c r="G186" t="inlineStr">
        <is>
          <t>ÄLVSBYN</t>
        </is>
      </c>
      <c r="H186" t="inlineStr">
        <is>
          <t>Sveaskog</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49151-2025</t>
        </is>
      </c>
      <c r="B187" t="inlineStr">
        <is>
          <t>avverkningsanmälan</t>
        </is>
      </c>
      <c r="C187" t="inlineStr">
        <is>
          <t>Föryngringsavverkning</t>
        </is>
      </c>
      <c r="D187" s="1" t="n">
        <v>45938</v>
      </c>
      <c r="E187" s="1" t="n">
        <v>46223</v>
      </c>
      <c r="F187" t="inlineStr">
        <is>
          <t>NORRBOTTENS LÄN</t>
        </is>
      </c>
      <c r="G187" t="inlineStr">
        <is>
          <t>ÄLVSBYN</t>
        </is>
      </c>
      <c r="I187" t="n">
        <v>10.8</v>
      </c>
      <c r="J187" t="n">
        <v>0</v>
      </c>
      <c r="K187" t="n">
        <v>0</v>
      </c>
      <c r="L187" t="n">
        <v>0</v>
      </c>
      <c r="M187" t="n">
        <v>0</v>
      </c>
      <c r="N187" t="n">
        <v>0</v>
      </c>
      <c r="O187" t="n">
        <v>0</v>
      </c>
      <c r="P187" t="n">
        <v>0</v>
      </c>
      <c r="Q187" t="n">
        <v>0</v>
      </c>
      <c r="R187" t="n">
        <v>0</v>
      </c>
      <c r="S187" t="n">
        <v>0</v>
      </c>
      <c r="T187" t="n">
        <v>0</v>
      </c>
      <c r="U187" s="2" t="inlineStr"/>
    </row>
    <row r="188" ht="15" customHeight="1">
      <c r="A188" t="inlineStr">
        <is>
          <t>A 30555-2025</t>
        </is>
      </c>
      <c r="B188" t="inlineStr">
        <is>
          <t>avverkningsanmälan</t>
        </is>
      </c>
      <c r="C188" t="inlineStr">
        <is>
          <t>Föryngringsavverkning</t>
        </is>
      </c>
      <c r="D188" s="1" t="n">
        <v>45831</v>
      </c>
      <c r="E188" s="1" t="n">
        <v>46223</v>
      </c>
      <c r="F188" t="inlineStr">
        <is>
          <t>NORRBOTTENS LÄN</t>
        </is>
      </c>
      <c r="G188" t="inlineStr">
        <is>
          <t>ÄLVSBYN</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20237-2025</t>
        </is>
      </c>
      <c r="B189" t="inlineStr">
        <is>
          <t>avverkningsanmälan</t>
        </is>
      </c>
      <c r="C189" t="inlineStr">
        <is>
          <t>Föryngringsavverkning</t>
        </is>
      </c>
      <c r="D189" s="1" t="n">
        <v>45772</v>
      </c>
      <c r="E189" s="1" t="n">
        <v>46223</v>
      </c>
      <c r="F189" t="inlineStr">
        <is>
          <t>NORRBOTTENS LÄN</t>
        </is>
      </c>
      <c r="G189" t="inlineStr">
        <is>
          <t>ÄLVSBYN</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32195-2024</t>
        </is>
      </c>
      <c r="B190" t="inlineStr">
        <is>
          <t>avverkningsanmälan</t>
        </is>
      </c>
      <c r="C190" t="inlineStr">
        <is>
          <t>Föryngringsavverkning</t>
        </is>
      </c>
      <c r="D190" s="1" t="n">
        <v>45511</v>
      </c>
      <c r="E190" s="1" t="n">
        <v>46223</v>
      </c>
      <c r="F190" t="inlineStr">
        <is>
          <t>NORRBOTTENS LÄN</t>
        </is>
      </c>
      <c r="G190" t="inlineStr">
        <is>
          <t>ÄLVSBYN</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50778-2025</t>
        </is>
      </c>
      <c r="B191" t="inlineStr">
        <is>
          <t>avverkningsanmälan</t>
        </is>
      </c>
      <c r="C191" t="inlineStr">
        <is>
          <t>Föryngringsavverkning</t>
        </is>
      </c>
      <c r="D191" s="1" t="n">
        <v>45946</v>
      </c>
      <c r="E191" s="1" t="n">
        <v>46223</v>
      </c>
      <c r="F191" t="inlineStr">
        <is>
          <t>NORRBOTTENS LÄN</t>
        </is>
      </c>
      <c r="G191" t="inlineStr">
        <is>
          <t>ÄLVSBYN</t>
        </is>
      </c>
      <c r="I191" t="n">
        <v>5.7</v>
      </c>
      <c r="J191" t="n">
        <v>0</v>
      </c>
      <c r="K191" t="n">
        <v>0</v>
      </c>
      <c r="L191" t="n">
        <v>0</v>
      </c>
      <c r="M191" t="n">
        <v>0</v>
      </c>
      <c r="N191" t="n">
        <v>0</v>
      </c>
      <c r="O191" t="n">
        <v>0</v>
      </c>
      <c r="P191" t="n">
        <v>0</v>
      </c>
      <c r="Q191" t="n">
        <v>0</v>
      </c>
      <c r="R191" t="n">
        <v>0</v>
      </c>
      <c r="S191" t="n">
        <v>0</v>
      </c>
      <c r="T191" t="n">
        <v>0</v>
      </c>
      <c r="U191" s="2" t="inlineStr"/>
    </row>
    <row r="192" ht="15" customHeight="1">
      <c r="A192" t="inlineStr">
        <is>
          <t>A 50467-2025</t>
        </is>
      </c>
      <c r="B192" t="inlineStr">
        <is>
          <t>avverkningsanmälan</t>
        </is>
      </c>
      <c r="C192" t="inlineStr">
        <is>
          <t>Föryngringsavverkning</t>
        </is>
      </c>
      <c r="D192" s="1" t="n">
        <v>45945</v>
      </c>
      <c r="E192" s="1" t="n">
        <v>46223</v>
      </c>
      <c r="F192" t="inlineStr">
        <is>
          <t>NORRBOTTENS LÄN</t>
        </is>
      </c>
      <c r="G192" t="inlineStr">
        <is>
          <t>ÄLVSBYN</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62406-2023</t>
        </is>
      </c>
      <c r="B193" t="inlineStr">
        <is>
          <t>avverkningsanmälan</t>
        </is>
      </c>
      <c r="C193" t="inlineStr">
        <is>
          <t>Föryngringsavverkning</t>
        </is>
      </c>
      <c r="D193" s="1" t="n">
        <v>45266</v>
      </c>
      <c r="E193" s="1" t="n">
        <v>46223</v>
      </c>
      <c r="F193" t="inlineStr">
        <is>
          <t>NORRBOTTENS LÄN</t>
        </is>
      </c>
      <c r="G193" t="inlineStr">
        <is>
          <t>ÄLVSBYN</t>
        </is>
      </c>
      <c r="I193" t="n">
        <v>3.7</v>
      </c>
      <c r="J193" t="n">
        <v>0</v>
      </c>
      <c r="K193" t="n">
        <v>0</v>
      </c>
      <c r="L193" t="n">
        <v>0</v>
      </c>
      <c r="M193" t="n">
        <v>0</v>
      </c>
      <c r="N193" t="n">
        <v>0</v>
      </c>
      <c r="O193" t="n">
        <v>0</v>
      </c>
      <c r="P193" t="n">
        <v>0</v>
      </c>
      <c r="Q193" t="n">
        <v>0</v>
      </c>
      <c r="R193" t="n">
        <v>0</v>
      </c>
      <c r="S193" t="n">
        <v>0</v>
      </c>
      <c r="T193" t="n">
        <v>0</v>
      </c>
      <c r="U193" s="2" t="inlineStr"/>
    </row>
    <row r="194" ht="15" customHeight="1">
      <c r="A194" t="inlineStr">
        <is>
          <t>A 39005-2023</t>
        </is>
      </c>
      <c r="B194" t="inlineStr">
        <is>
          <t>avverkningsanmälan</t>
        </is>
      </c>
      <c r="C194" t="inlineStr">
        <is>
          <t>Föryngringsavverkning</t>
        </is>
      </c>
      <c r="D194" s="1" t="n">
        <v>45162</v>
      </c>
      <c r="E194" s="1" t="n">
        <v>46223</v>
      </c>
      <c r="F194" t="inlineStr">
        <is>
          <t>NORRBOTTENS LÄN</t>
        </is>
      </c>
      <c r="G194" t="inlineStr">
        <is>
          <t>ÄLVSBYN</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42558-2024</t>
        </is>
      </c>
      <c r="B195" t="inlineStr">
        <is>
          <t>avverkningsanmälan</t>
        </is>
      </c>
      <c r="C195" t="inlineStr">
        <is>
          <t>Föryngringsavverkning</t>
        </is>
      </c>
      <c r="D195" s="1" t="n">
        <v>45565</v>
      </c>
      <c r="E195" s="1" t="n">
        <v>46223</v>
      </c>
      <c r="F195" t="inlineStr">
        <is>
          <t>NORRBOTTENS LÄN</t>
        </is>
      </c>
      <c r="G195" t="inlineStr">
        <is>
          <t>ÄLVSBYN</t>
        </is>
      </c>
      <c r="H195" t="inlineStr">
        <is>
          <t>Sveaskog</t>
        </is>
      </c>
      <c r="I195" t="n">
        <v>0.2</v>
      </c>
      <c r="J195" t="n">
        <v>0</v>
      </c>
      <c r="K195" t="n">
        <v>0</v>
      </c>
      <c r="L195" t="n">
        <v>0</v>
      </c>
      <c r="M195" t="n">
        <v>0</v>
      </c>
      <c r="N195" t="n">
        <v>0</v>
      </c>
      <c r="O195" t="n">
        <v>0</v>
      </c>
      <c r="P195" t="n">
        <v>0</v>
      </c>
      <c r="Q195" t="n">
        <v>0</v>
      </c>
      <c r="R195" t="n">
        <v>0</v>
      </c>
      <c r="S195" t="n">
        <v>0</v>
      </c>
      <c r="T195" t="n">
        <v>0</v>
      </c>
      <c r="U195" s="2" t="inlineStr"/>
    </row>
    <row r="196" ht="15" customHeight="1">
      <c r="A196" t="inlineStr">
        <is>
          <t>A 51366-2025</t>
        </is>
      </c>
      <c r="B196" t="inlineStr">
        <is>
          <t>avverkningsanmälan</t>
        </is>
      </c>
      <c r="C196" t="inlineStr">
        <is>
          <t>Föryngringsavverkning</t>
        </is>
      </c>
      <c r="D196" s="1" t="n">
        <v>45950</v>
      </c>
      <c r="E196" s="1" t="n">
        <v>46223</v>
      </c>
      <c r="F196" t="inlineStr">
        <is>
          <t>NORRBOTTENS LÄN</t>
        </is>
      </c>
      <c r="G196" t="inlineStr">
        <is>
          <t>ÄLVSBYN</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51163-2025</t>
        </is>
      </c>
      <c r="B197" t="inlineStr">
        <is>
          <t>avverkningsanmälan</t>
        </is>
      </c>
      <c r="C197" t="inlineStr">
        <is>
          <t>Föryngringsavverkning</t>
        </is>
      </c>
      <c r="D197" s="1" t="n">
        <v>45947</v>
      </c>
      <c r="E197" s="1" t="n">
        <v>46223</v>
      </c>
      <c r="F197" t="inlineStr">
        <is>
          <t>NORRBOTTENS LÄN</t>
        </is>
      </c>
      <c r="G197" t="inlineStr">
        <is>
          <t>ÄLVSBYN</t>
        </is>
      </c>
      <c r="H197" t="inlineStr">
        <is>
          <t>SCA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8334-2025</t>
        </is>
      </c>
      <c r="B198" t="inlineStr">
        <is>
          <t>avverkningsanmälan</t>
        </is>
      </c>
      <c r="C198" t="inlineStr">
        <is>
          <t>Avverkning för annat ändamål</t>
        </is>
      </c>
      <c r="D198" s="1" t="n">
        <v>45708</v>
      </c>
      <c r="E198" s="1" t="n">
        <v>46223</v>
      </c>
      <c r="F198" t="inlineStr">
        <is>
          <t>NORRBOTTENS LÄN</t>
        </is>
      </c>
      <c r="G198" t="inlineStr">
        <is>
          <t>ÄLVSBYN</t>
        </is>
      </c>
      <c r="H198" t="inlineStr">
        <is>
          <t>SCA</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25102-2023</t>
        </is>
      </c>
      <c r="B199" t="inlineStr">
        <is>
          <t>avverkningsanmälan</t>
        </is>
      </c>
      <c r="C199" t="inlineStr">
        <is>
          <t>Föryngringsavverkning</t>
        </is>
      </c>
      <c r="D199" s="1" t="n">
        <v>45078</v>
      </c>
      <c r="E199" s="1" t="n">
        <v>46223</v>
      </c>
      <c r="F199" t="inlineStr">
        <is>
          <t>NORRBOTTENS LÄN</t>
        </is>
      </c>
      <c r="G199" t="inlineStr">
        <is>
          <t>ÄLVSBYN</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58309-2024</t>
        </is>
      </c>
      <c r="B200" t="inlineStr">
        <is>
          <t>avverkningsanmälan</t>
        </is>
      </c>
      <c r="C200" t="inlineStr">
        <is>
          <t>Föryngringsavverkning</t>
        </is>
      </c>
      <c r="D200" s="1" t="n">
        <v>45632</v>
      </c>
      <c r="E200" s="1" t="n">
        <v>46223</v>
      </c>
      <c r="F200" t="inlineStr">
        <is>
          <t>NORRBOTTENS LÄN</t>
        </is>
      </c>
      <c r="G200" t="inlineStr">
        <is>
          <t>ÄLVSBYN</t>
        </is>
      </c>
      <c r="I200" t="n">
        <v>3.9</v>
      </c>
      <c r="J200" t="n">
        <v>0</v>
      </c>
      <c r="K200" t="n">
        <v>0</v>
      </c>
      <c r="L200" t="n">
        <v>0</v>
      </c>
      <c r="M200" t="n">
        <v>0</v>
      </c>
      <c r="N200" t="n">
        <v>0</v>
      </c>
      <c r="O200" t="n">
        <v>0</v>
      </c>
      <c r="P200" t="n">
        <v>0</v>
      </c>
      <c r="Q200" t="n">
        <v>0</v>
      </c>
      <c r="R200" t="n">
        <v>0</v>
      </c>
      <c r="S200" t="n">
        <v>0</v>
      </c>
      <c r="T200" t="n">
        <v>0</v>
      </c>
      <c r="U200" s="2" t="inlineStr"/>
    </row>
    <row r="201" ht="15" customHeight="1">
      <c r="A201" t="inlineStr">
        <is>
          <t>A 60581-2024</t>
        </is>
      </c>
      <c r="B201" t="inlineStr">
        <is>
          <t>avverkningsanmälan</t>
        </is>
      </c>
      <c r="C201" t="inlineStr">
        <is>
          <t>Föryngringsavverkning</t>
        </is>
      </c>
      <c r="D201" s="1" t="n">
        <v>45642</v>
      </c>
      <c r="E201" s="1" t="n">
        <v>46223</v>
      </c>
      <c r="F201" t="inlineStr">
        <is>
          <t>NORRBOTTENS LÄN</t>
        </is>
      </c>
      <c r="G201" t="inlineStr">
        <is>
          <t>ÄLVSBYN</t>
        </is>
      </c>
      <c r="I201" t="n">
        <v>4.5</v>
      </c>
      <c r="J201" t="n">
        <v>0</v>
      </c>
      <c r="K201" t="n">
        <v>0</v>
      </c>
      <c r="L201" t="n">
        <v>0</v>
      </c>
      <c r="M201" t="n">
        <v>0</v>
      </c>
      <c r="N201" t="n">
        <v>0</v>
      </c>
      <c r="O201" t="n">
        <v>0</v>
      </c>
      <c r="P201" t="n">
        <v>0</v>
      </c>
      <c r="Q201" t="n">
        <v>0</v>
      </c>
      <c r="R201" t="n">
        <v>0</v>
      </c>
      <c r="S201" t="n">
        <v>0</v>
      </c>
      <c r="T201" t="n">
        <v>0</v>
      </c>
      <c r="U201" s="2" t="inlineStr"/>
    </row>
    <row r="202" ht="15" customHeight="1">
      <c r="A202" t="inlineStr">
        <is>
          <t>A 52868-2025</t>
        </is>
      </c>
      <c r="B202" t="inlineStr">
        <is>
          <t>avverkningsanmälan</t>
        </is>
      </c>
      <c r="C202" t="inlineStr">
        <is>
          <t>Avverkning för annat ändamål</t>
        </is>
      </c>
      <c r="D202" s="1" t="n">
        <v>45957</v>
      </c>
      <c r="E202" s="1" t="n">
        <v>46223</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53648-2025</t>
        </is>
      </c>
      <c r="B203" t="inlineStr">
        <is>
          <t>avverkningsanmälan</t>
        </is>
      </c>
      <c r="C203" t="inlineStr">
        <is>
          <t>Föryngringsavverkning</t>
        </is>
      </c>
      <c r="D203" s="1" t="n">
        <v>45960</v>
      </c>
      <c r="E203" s="1" t="n">
        <v>46223</v>
      </c>
      <c r="F203" t="inlineStr">
        <is>
          <t>NORRBOTTENS LÄN</t>
        </is>
      </c>
      <c r="G203" t="inlineStr">
        <is>
          <t>ÄLVSBYN</t>
        </is>
      </c>
      <c r="H203" t="inlineStr">
        <is>
          <t>Sveaskog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50746-2021</t>
        </is>
      </c>
      <c r="B204" t="inlineStr">
        <is>
          <t>avverkningsanmälan</t>
        </is>
      </c>
      <c r="C204" t="inlineStr">
        <is>
          <t>Föryngringsavverkning</t>
        </is>
      </c>
      <c r="D204" s="1" t="n">
        <v>44460</v>
      </c>
      <c r="E204" s="1" t="n">
        <v>46223</v>
      </c>
      <c r="F204" t="inlineStr">
        <is>
          <t>NORRBOTTENS LÄN</t>
        </is>
      </c>
      <c r="G204" t="inlineStr">
        <is>
          <t>ÄLVSBYN</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53638-2025</t>
        </is>
      </c>
      <c r="B205" t="inlineStr">
        <is>
          <t>avverkningsanmälan</t>
        </is>
      </c>
      <c r="C205" t="inlineStr">
        <is>
          <t>Avverkning för att bevara och utveckla /försöksver</t>
        </is>
      </c>
      <c r="D205" s="1" t="n">
        <v>45960</v>
      </c>
      <c r="E205" s="1" t="n">
        <v>46223</v>
      </c>
      <c r="F205" t="inlineStr">
        <is>
          <t>NORRBOTTENS LÄN</t>
        </is>
      </c>
      <c r="G205" t="inlineStr">
        <is>
          <t>ÄLVSBYN</t>
        </is>
      </c>
      <c r="H205" t="inlineStr">
        <is>
          <t>Sveaskog</t>
        </is>
      </c>
      <c r="I205" t="n">
        <v>5.1</v>
      </c>
      <c r="J205" t="n">
        <v>0</v>
      </c>
      <c r="K205" t="n">
        <v>0</v>
      </c>
      <c r="L205" t="n">
        <v>0</v>
      </c>
      <c r="M205" t="n">
        <v>0</v>
      </c>
      <c r="N205" t="n">
        <v>0</v>
      </c>
      <c r="O205" t="n">
        <v>0</v>
      </c>
      <c r="P205" t="n">
        <v>0</v>
      </c>
      <c r="Q205" t="n">
        <v>0</v>
      </c>
      <c r="R205" t="n">
        <v>0</v>
      </c>
      <c r="S205" t="n">
        <v>0</v>
      </c>
      <c r="T205" t="n">
        <v>0</v>
      </c>
      <c r="U205" s="2" t="inlineStr"/>
    </row>
    <row r="206" ht="15" customHeight="1">
      <c r="A206" t="inlineStr">
        <is>
          <t>A 53957-2025</t>
        </is>
      </c>
      <c r="B206" t="inlineStr">
        <is>
          <t>avverkningsanmälan</t>
        </is>
      </c>
      <c r="C206" t="inlineStr">
        <is>
          <t>Avverkning för att bevara och utveckla /försöksver</t>
        </is>
      </c>
      <c r="D206" s="1" t="n">
        <v>45961</v>
      </c>
      <c r="E206" s="1" t="n">
        <v>46223</v>
      </c>
      <c r="F206" t="inlineStr">
        <is>
          <t>NORRBOTTENS LÄN</t>
        </is>
      </c>
      <c r="G206" t="inlineStr">
        <is>
          <t>ÄLVSBYN</t>
        </is>
      </c>
      <c r="H206" t="inlineStr">
        <is>
          <t>Sveaskog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53840-2025</t>
        </is>
      </c>
      <c r="B207" t="inlineStr">
        <is>
          <t>avverkningsanmälan</t>
        </is>
      </c>
      <c r="C207" t="inlineStr">
        <is>
          <t>Avverkning för att bevara och utveckla /försöksver</t>
        </is>
      </c>
      <c r="D207" s="1" t="n">
        <v>45961</v>
      </c>
      <c r="E207" s="1" t="n">
        <v>46223</v>
      </c>
      <c r="F207" t="inlineStr">
        <is>
          <t>NORRBOTTENS LÄN</t>
        </is>
      </c>
      <c r="G207" t="inlineStr">
        <is>
          <t>ÄLVSBYN</t>
        </is>
      </c>
      <c r="H207" t="inlineStr">
        <is>
          <t>Sveaskog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54175-2025</t>
        </is>
      </c>
      <c r="B208" t="inlineStr">
        <is>
          <t>avverkningsanmälan</t>
        </is>
      </c>
      <c r="C208" t="inlineStr">
        <is>
          <t>Föryngringsavverkning</t>
        </is>
      </c>
      <c r="D208" s="1" t="n">
        <v>45964</v>
      </c>
      <c r="E208" s="1" t="n">
        <v>46223</v>
      </c>
      <c r="F208" t="inlineStr">
        <is>
          <t>NORRBOTTENS LÄN</t>
        </is>
      </c>
      <c r="G208" t="inlineStr">
        <is>
          <t>ÄLVSBYN</t>
        </is>
      </c>
      <c r="I208" t="n">
        <v>10.6</v>
      </c>
      <c r="J208" t="n">
        <v>0</v>
      </c>
      <c r="K208" t="n">
        <v>0</v>
      </c>
      <c r="L208" t="n">
        <v>0</v>
      </c>
      <c r="M208" t="n">
        <v>0</v>
      </c>
      <c r="N208" t="n">
        <v>0</v>
      </c>
      <c r="O208" t="n">
        <v>0</v>
      </c>
      <c r="P208" t="n">
        <v>0</v>
      </c>
      <c r="Q208" t="n">
        <v>0</v>
      </c>
      <c r="R208" t="n">
        <v>0</v>
      </c>
      <c r="S208" t="n">
        <v>0</v>
      </c>
      <c r="T208" t="n">
        <v>0</v>
      </c>
      <c r="U208" s="2" t="inlineStr"/>
    </row>
    <row r="209" ht="15" customHeight="1">
      <c r="A209" t="inlineStr">
        <is>
          <t>A 40560-2022</t>
        </is>
      </c>
      <c r="B209" t="inlineStr">
        <is>
          <t>avverkningsanmälan</t>
        </is>
      </c>
      <c r="C209" t="inlineStr">
        <is>
          <t>Föryngringsavverkning</t>
        </is>
      </c>
      <c r="D209" s="1" t="n">
        <v>44823</v>
      </c>
      <c r="E209" s="1" t="n">
        <v>46223</v>
      </c>
      <c r="F209" t="inlineStr">
        <is>
          <t>NORRBOTTENS LÄN</t>
        </is>
      </c>
      <c r="G209" t="inlineStr">
        <is>
          <t>ÄLVSBYN</t>
        </is>
      </c>
      <c r="H209" t="inlineStr">
        <is>
          <t>Sveaskog</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55635-2025</t>
        </is>
      </c>
      <c r="B210" t="inlineStr">
        <is>
          <t>avverkningsanmälan</t>
        </is>
      </c>
      <c r="C210" t="inlineStr">
        <is>
          <t>Föryngringsavverkning</t>
        </is>
      </c>
      <c r="D210" s="1" t="n">
        <v>45972</v>
      </c>
      <c r="E210" s="1" t="n">
        <v>46223</v>
      </c>
      <c r="F210" t="inlineStr">
        <is>
          <t>NORRBOTTENS LÄN</t>
        </is>
      </c>
      <c r="G210" t="inlineStr">
        <is>
          <t>ÄLVSBYN</t>
        </is>
      </c>
      <c r="H210" t="inlineStr">
        <is>
          <t>SCA</t>
        </is>
      </c>
      <c r="I210" t="n">
        <v>9.199999999999999</v>
      </c>
      <c r="J210" t="n">
        <v>0</v>
      </c>
      <c r="K210" t="n">
        <v>0</v>
      </c>
      <c r="L210" t="n">
        <v>0</v>
      </c>
      <c r="M210" t="n">
        <v>0</v>
      </c>
      <c r="N210" t="n">
        <v>0</v>
      </c>
      <c r="O210" t="n">
        <v>0</v>
      </c>
      <c r="P210" t="n">
        <v>0</v>
      </c>
      <c r="Q210" t="n">
        <v>0</v>
      </c>
      <c r="R210" t="n">
        <v>0</v>
      </c>
      <c r="S210" t="n">
        <v>0</v>
      </c>
      <c r="T210" t="n">
        <v>0</v>
      </c>
      <c r="U210" s="2" t="inlineStr"/>
    </row>
    <row r="211" ht="15" customHeight="1">
      <c r="A211" t="inlineStr">
        <is>
          <t>A 60030-2021</t>
        </is>
      </c>
      <c r="B211" t="inlineStr">
        <is>
          <t>avverkningsanmälan</t>
        </is>
      </c>
      <c r="C211" t="inlineStr">
        <is>
          <t>Föryngringsavverkning</t>
        </is>
      </c>
      <c r="D211" s="1" t="n">
        <v>44494</v>
      </c>
      <c r="E211" s="1" t="n">
        <v>46223</v>
      </c>
      <c r="F211" t="inlineStr">
        <is>
          <t>NORRBOTTENS LÄN</t>
        </is>
      </c>
      <c r="G211" t="inlineStr">
        <is>
          <t>ÄLVSBYN</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55809-2025</t>
        </is>
      </c>
      <c r="B212" t="inlineStr">
        <is>
          <t>avverkningsanmälan</t>
        </is>
      </c>
      <c r="C212" t="inlineStr">
        <is>
          <t>Föryngringsavverkning</t>
        </is>
      </c>
      <c r="D212" s="1" t="n">
        <v>45972</v>
      </c>
      <c r="E212" s="1" t="n">
        <v>46223</v>
      </c>
      <c r="F212" t="inlineStr">
        <is>
          <t>NORRBOTTENS LÄN</t>
        </is>
      </c>
      <c r="G212" t="inlineStr">
        <is>
          <t>ÄLVSBYN</t>
        </is>
      </c>
      <c r="H212" t="inlineStr">
        <is>
          <t>SCA</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55850-2025</t>
        </is>
      </c>
      <c r="B213" t="inlineStr">
        <is>
          <t>avverkningsanmälan</t>
        </is>
      </c>
      <c r="C213" t="inlineStr">
        <is>
          <t>Föryngringsavverkning</t>
        </is>
      </c>
      <c r="D213" s="1" t="n">
        <v>45973</v>
      </c>
      <c r="E213" s="1" t="n">
        <v>46223</v>
      </c>
      <c r="F213" t="inlineStr">
        <is>
          <t>NORRBOTTENS LÄN</t>
        </is>
      </c>
      <c r="G213" t="inlineStr">
        <is>
          <t>ÄLVSBYN</t>
        </is>
      </c>
      <c r="H213" t="inlineStr">
        <is>
          <t>Sveaskog</t>
        </is>
      </c>
      <c r="I213" t="n">
        <v>7.4</v>
      </c>
      <c r="J213" t="n">
        <v>0</v>
      </c>
      <c r="K213" t="n">
        <v>0</v>
      </c>
      <c r="L213" t="n">
        <v>0</v>
      </c>
      <c r="M213" t="n">
        <v>0</v>
      </c>
      <c r="N213" t="n">
        <v>0</v>
      </c>
      <c r="O213" t="n">
        <v>0</v>
      </c>
      <c r="P213" t="n">
        <v>0</v>
      </c>
      <c r="Q213" t="n">
        <v>0</v>
      </c>
      <c r="R213" t="n">
        <v>0</v>
      </c>
      <c r="S213" t="n">
        <v>0</v>
      </c>
      <c r="T213" t="n">
        <v>0</v>
      </c>
      <c r="U213" s="2" t="inlineStr"/>
    </row>
    <row r="214" ht="15" customHeight="1">
      <c r="A214" t="inlineStr">
        <is>
          <t>A 19142-2023</t>
        </is>
      </c>
      <c r="B214" t="inlineStr">
        <is>
          <t>avverkningsanmälan</t>
        </is>
      </c>
      <c r="C214" t="inlineStr">
        <is>
          <t>Föryngringsavverkning</t>
        </is>
      </c>
      <c r="D214" s="1" t="n">
        <v>45044</v>
      </c>
      <c r="E214" s="1" t="n">
        <v>46223</v>
      </c>
      <c r="F214" t="inlineStr">
        <is>
          <t>NORRBOTTENS LÄN</t>
        </is>
      </c>
      <c r="G214" t="inlineStr">
        <is>
          <t>ÄLVSBYN</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56245-2025</t>
        </is>
      </c>
      <c r="B215" t="inlineStr">
        <is>
          <t>avverkningsanmälan</t>
        </is>
      </c>
      <c r="C215" t="inlineStr">
        <is>
          <t>Föryngringsavverkning</t>
        </is>
      </c>
      <c r="D215" s="1" t="n">
        <v>45974</v>
      </c>
      <c r="E215" s="1" t="n">
        <v>46223</v>
      </c>
      <c r="F215" t="inlineStr">
        <is>
          <t>NORRBOTTENS LÄN</t>
        </is>
      </c>
      <c r="G215" t="inlineStr">
        <is>
          <t>ÄLVSBYN</t>
        </is>
      </c>
      <c r="I215" t="n">
        <v>1.1</v>
      </c>
      <c r="J215" t="n">
        <v>0</v>
      </c>
      <c r="K215" t="n">
        <v>0</v>
      </c>
      <c r="L215" t="n">
        <v>0</v>
      </c>
      <c r="M215" t="n">
        <v>0</v>
      </c>
      <c r="N215" t="n">
        <v>0</v>
      </c>
      <c r="O215" t="n">
        <v>0</v>
      </c>
      <c r="P215" t="n">
        <v>0</v>
      </c>
      <c r="Q215" t="n">
        <v>0</v>
      </c>
      <c r="R215" t="n">
        <v>0</v>
      </c>
      <c r="S215" t="n">
        <v>0</v>
      </c>
      <c r="T215" t="n">
        <v>0</v>
      </c>
      <c r="U215" s="2" t="inlineStr"/>
      <c r="Y215">
        <f>HYPERLINK("https://klasma.github.io/Logging_2560/knärot/A 56245-2025 karta knärot.png", "A 56245-2025")</f>
        <v/>
      </c>
      <c r="Z215">
        <f>HYPERLINK("https://klasma.github.io/Logging_2560/klagomål/A 56245-2025 FSC-klagomål.docx", "A 56245-2025")</f>
        <v/>
      </c>
      <c r="AA215">
        <f>HYPERLINK("https://klasma.github.io/Logging_2560/klagomålsmail/A 56245-2025 FSC-klagomål mail.docx", "A 56245-2025")</f>
        <v/>
      </c>
      <c r="AB215">
        <f>HYPERLINK("https://klasma.github.io/Logging_2560/tillsyn/A 56245-2025 tillsynsbegäran.docx", "A 56245-2025")</f>
        <v/>
      </c>
      <c r="AC215">
        <f>HYPERLINK("https://klasma.github.io/Logging_2560/tillsynsmail/A 56245-2025 tillsynsbegäran mail.docx", "A 56245-2025")</f>
        <v/>
      </c>
    </row>
    <row r="216" ht="15" customHeight="1">
      <c r="A216" t="inlineStr">
        <is>
          <t>A 56246-2025</t>
        </is>
      </c>
      <c r="B216" t="inlineStr">
        <is>
          <t>avverkningsanmälan</t>
        </is>
      </c>
      <c r="C216" t="inlineStr">
        <is>
          <t>Föryngringsavverkning</t>
        </is>
      </c>
      <c r="D216" s="1" t="n">
        <v>45974</v>
      </c>
      <c r="E216" s="1" t="n">
        <v>46223</v>
      </c>
      <c r="F216" t="inlineStr">
        <is>
          <t>NORRBOTTENS LÄN</t>
        </is>
      </c>
      <c r="G216" t="inlineStr">
        <is>
          <t>ÄLVSBYN</t>
        </is>
      </c>
      <c r="I216" t="n">
        <v>0.3</v>
      </c>
      <c r="J216" t="n">
        <v>0</v>
      </c>
      <c r="K216" t="n">
        <v>0</v>
      </c>
      <c r="L216" t="n">
        <v>0</v>
      </c>
      <c r="M216" t="n">
        <v>0</v>
      </c>
      <c r="N216" t="n">
        <v>0</v>
      </c>
      <c r="O216" t="n">
        <v>0</v>
      </c>
      <c r="P216" t="n">
        <v>0</v>
      </c>
      <c r="Q216" t="n">
        <v>0</v>
      </c>
      <c r="R216" t="n">
        <v>0</v>
      </c>
      <c r="S216" t="n">
        <v>0</v>
      </c>
      <c r="T216" t="n">
        <v>0</v>
      </c>
      <c r="U216" s="2" t="inlineStr"/>
      <c r="Y216">
        <f>HYPERLINK("https://klasma.github.io/Logging_2560/knärot/A 56246-2025 karta knärot.png", "A 56246-2025")</f>
        <v/>
      </c>
      <c r="Z216">
        <f>HYPERLINK("https://klasma.github.io/Logging_2560/klagomål/A 56246-2025 FSC-klagomål.docx", "A 56246-2025")</f>
        <v/>
      </c>
      <c r="AA216">
        <f>HYPERLINK("https://klasma.github.io/Logging_2560/klagomålsmail/A 56246-2025 FSC-klagomål mail.docx", "A 56246-2025")</f>
        <v/>
      </c>
      <c r="AB216">
        <f>HYPERLINK("https://klasma.github.io/Logging_2560/tillsyn/A 56246-2025 tillsynsbegäran.docx", "A 56246-2025")</f>
        <v/>
      </c>
      <c r="AC216">
        <f>HYPERLINK("https://klasma.github.io/Logging_2560/tillsynsmail/A 56246-2025 tillsynsbegäran mail.docx", "A 56246-2025")</f>
        <v/>
      </c>
    </row>
    <row r="217" ht="15" customHeight="1">
      <c r="A217" t="inlineStr">
        <is>
          <t>A 56627-2025</t>
        </is>
      </c>
      <c r="B217" t="inlineStr">
        <is>
          <t>avverkningsanmälan</t>
        </is>
      </c>
      <c r="C217" t="inlineStr">
        <is>
          <t>Avverkning för annat ändamål</t>
        </is>
      </c>
      <c r="D217" s="1" t="n">
        <v>45975</v>
      </c>
      <c r="E217" s="1" t="n">
        <v>46223</v>
      </c>
      <c r="F217" t="inlineStr">
        <is>
          <t>NORRBOTTENS LÄN</t>
        </is>
      </c>
      <c r="G217" t="inlineStr">
        <is>
          <t>ÄLVSBYN</t>
        </is>
      </c>
      <c r="H217" t="inlineStr">
        <is>
          <t>Sveaskog</t>
        </is>
      </c>
      <c r="I217" t="n">
        <v>4.4</v>
      </c>
      <c r="J217" t="n">
        <v>0</v>
      </c>
      <c r="K217" t="n">
        <v>0</v>
      </c>
      <c r="L217" t="n">
        <v>0</v>
      </c>
      <c r="M217" t="n">
        <v>0</v>
      </c>
      <c r="N217" t="n">
        <v>0</v>
      </c>
      <c r="O217" t="n">
        <v>0</v>
      </c>
      <c r="P217" t="n">
        <v>0</v>
      </c>
      <c r="Q217" t="n">
        <v>0</v>
      </c>
      <c r="R217" t="n">
        <v>0</v>
      </c>
      <c r="S217" t="n">
        <v>0</v>
      </c>
      <c r="T217" t="n">
        <v>0</v>
      </c>
      <c r="U217" s="2" t="inlineStr"/>
    </row>
    <row r="218" ht="15" customHeight="1">
      <c r="A218" t="inlineStr">
        <is>
          <t>A 56532-2025</t>
        </is>
      </c>
      <c r="B218" t="inlineStr">
        <is>
          <t>avverkningsanmälan</t>
        </is>
      </c>
      <c r="C218" t="inlineStr">
        <is>
          <t>Föryngringsavverkning</t>
        </is>
      </c>
      <c r="D218" s="1" t="n">
        <v>45975</v>
      </c>
      <c r="E218" s="1" t="n">
        <v>46223</v>
      </c>
      <c r="F218" t="inlineStr">
        <is>
          <t>NORRBOTTENS LÄN</t>
        </is>
      </c>
      <c r="G218" t="inlineStr">
        <is>
          <t>ÄLVSBYN</t>
        </is>
      </c>
      <c r="H218" t="inlineStr">
        <is>
          <t>SCA</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57331-2025</t>
        </is>
      </c>
      <c r="B219" t="inlineStr">
        <is>
          <t>avverkningsanmälan</t>
        </is>
      </c>
      <c r="C219" t="inlineStr">
        <is>
          <t>Föryngringsavverkning</t>
        </is>
      </c>
      <c r="D219" s="1" t="n">
        <v>45980</v>
      </c>
      <c r="E219" s="1" t="n">
        <v>46223</v>
      </c>
      <c r="F219" t="inlineStr">
        <is>
          <t>NORRBOTTENS LÄN</t>
        </is>
      </c>
      <c r="G219" t="inlineStr">
        <is>
          <t>ÄLVSBYN</t>
        </is>
      </c>
      <c r="H219" t="inlineStr">
        <is>
          <t>SCA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11612-2026</t>
        </is>
      </c>
      <c r="B220" t="inlineStr">
        <is>
          <t>avverkningsanmälan</t>
        </is>
      </c>
      <c r="C220" t="inlineStr">
        <is>
          <t>Föryngringsavverkning</t>
        </is>
      </c>
      <c r="D220" s="1" t="n">
        <v>46084</v>
      </c>
      <c r="E220" s="1" t="n">
        <v>46223</v>
      </c>
      <c r="F220" t="inlineStr">
        <is>
          <t>NORRBOTTENS LÄN</t>
        </is>
      </c>
      <c r="G220" t="inlineStr">
        <is>
          <t>ÄLVSBYN</t>
        </is>
      </c>
      <c r="I220" t="n">
        <v>24.2</v>
      </c>
      <c r="J220" t="n">
        <v>0</v>
      </c>
      <c r="K220" t="n">
        <v>0</v>
      </c>
      <c r="L220" t="n">
        <v>0</v>
      </c>
      <c r="M220" t="n">
        <v>0</v>
      </c>
      <c r="N220" t="n">
        <v>0</v>
      </c>
      <c r="O220" t="n">
        <v>0</v>
      </c>
      <c r="P220" t="n">
        <v>0</v>
      </c>
      <c r="Q220" t="n">
        <v>0</v>
      </c>
      <c r="R220" t="n">
        <v>0</v>
      </c>
      <c r="S220" t="n">
        <v>0</v>
      </c>
      <c r="T220" t="n">
        <v>0</v>
      </c>
      <c r="U220" s="2" t="inlineStr"/>
    </row>
    <row r="221" ht="15" customHeight="1">
      <c r="A221" t="inlineStr">
        <is>
          <t>A 37731-2022</t>
        </is>
      </c>
      <c r="B221" t="inlineStr">
        <is>
          <t>avverkningsanmälan</t>
        </is>
      </c>
      <c r="C221" t="inlineStr">
        <is>
          <t>Föryngringsavverkning</t>
        </is>
      </c>
      <c r="D221" s="1" t="n">
        <v>44810</v>
      </c>
      <c r="E221" s="1" t="n">
        <v>46223</v>
      </c>
      <c r="F221" t="inlineStr">
        <is>
          <t>NORRBOTTENS LÄN</t>
        </is>
      </c>
      <c r="G221" t="inlineStr">
        <is>
          <t>ÄLVSBYN</t>
        </is>
      </c>
      <c r="H221" t="inlineStr">
        <is>
          <t>Sveaskog</t>
        </is>
      </c>
      <c r="I221" t="n">
        <v>4</v>
      </c>
      <c r="J221" t="n">
        <v>0</v>
      </c>
      <c r="K221" t="n">
        <v>0</v>
      </c>
      <c r="L221" t="n">
        <v>0</v>
      </c>
      <c r="M221" t="n">
        <v>0</v>
      </c>
      <c r="N221" t="n">
        <v>0</v>
      </c>
      <c r="O221" t="n">
        <v>0</v>
      </c>
      <c r="P221" t="n">
        <v>0</v>
      </c>
      <c r="Q221" t="n">
        <v>0</v>
      </c>
      <c r="R221" t="n">
        <v>0</v>
      </c>
      <c r="S221" t="n">
        <v>0</v>
      </c>
      <c r="T221" t="n">
        <v>0</v>
      </c>
      <c r="U221" s="2" t="inlineStr"/>
    </row>
    <row r="222" ht="15" customHeight="1">
      <c r="A222" t="inlineStr">
        <is>
          <t>A 57066-2025</t>
        </is>
      </c>
      <c r="B222" t="inlineStr">
        <is>
          <t>avverkningsanmälan</t>
        </is>
      </c>
      <c r="C222" t="inlineStr">
        <is>
          <t>Föryngringsavverkning</t>
        </is>
      </c>
      <c r="D222" s="1" t="n">
        <v>45979</v>
      </c>
      <c r="E222" s="1" t="n">
        <v>46223</v>
      </c>
      <c r="F222" t="inlineStr">
        <is>
          <t>NORRBOTTENS LÄN</t>
        </is>
      </c>
      <c r="G222" t="inlineStr">
        <is>
          <t>ÄLVSBYN</t>
        </is>
      </c>
      <c r="I222" t="n">
        <v>5.6</v>
      </c>
      <c r="J222" t="n">
        <v>0</v>
      </c>
      <c r="K222" t="n">
        <v>0</v>
      </c>
      <c r="L222" t="n">
        <v>0</v>
      </c>
      <c r="M222" t="n">
        <v>0</v>
      </c>
      <c r="N222" t="n">
        <v>0</v>
      </c>
      <c r="O222" t="n">
        <v>0</v>
      </c>
      <c r="P222" t="n">
        <v>0</v>
      </c>
      <c r="Q222" t="n">
        <v>0</v>
      </c>
      <c r="R222" t="n">
        <v>0</v>
      </c>
      <c r="S222" t="n">
        <v>0</v>
      </c>
      <c r="T222" t="n">
        <v>0</v>
      </c>
      <c r="U222" s="2" t="inlineStr"/>
    </row>
    <row r="223" ht="15" customHeight="1">
      <c r="A223" t="inlineStr">
        <is>
          <t>A 47695-2021</t>
        </is>
      </c>
      <c r="B223" t="inlineStr">
        <is>
          <t>avverkningsanmälan</t>
        </is>
      </c>
      <c r="C223" t="inlineStr">
        <is>
          <t>Föryngringsavverkning</t>
        </is>
      </c>
      <c r="D223" s="1" t="n">
        <v>44448</v>
      </c>
      <c r="E223" s="1" t="n">
        <v>46223</v>
      </c>
      <c r="F223" t="inlineStr">
        <is>
          <t>NORRBOTTENS LÄN</t>
        </is>
      </c>
      <c r="G223" t="inlineStr">
        <is>
          <t>ÄLVSBYN</t>
        </is>
      </c>
      <c r="I223" t="n">
        <v>3.2</v>
      </c>
      <c r="J223" t="n">
        <v>0</v>
      </c>
      <c r="K223" t="n">
        <v>0</v>
      </c>
      <c r="L223" t="n">
        <v>0</v>
      </c>
      <c r="M223" t="n">
        <v>0</v>
      </c>
      <c r="N223" t="n">
        <v>0</v>
      </c>
      <c r="O223" t="n">
        <v>0</v>
      </c>
      <c r="P223" t="n">
        <v>0</v>
      </c>
      <c r="Q223" t="n">
        <v>0</v>
      </c>
      <c r="R223" t="n">
        <v>0</v>
      </c>
      <c r="S223" t="n">
        <v>0</v>
      </c>
      <c r="T223" t="n">
        <v>0</v>
      </c>
      <c r="U223" s="2" t="inlineStr"/>
    </row>
    <row r="224" ht="15" customHeight="1">
      <c r="A224" t="inlineStr">
        <is>
          <t>A 58664-2025</t>
        </is>
      </c>
      <c r="B224" t="inlineStr">
        <is>
          <t>avverkningsanmälan</t>
        </is>
      </c>
      <c r="C224" t="inlineStr">
        <is>
          <t>Föryngringsavverkning</t>
        </is>
      </c>
      <c r="D224" s="1" t="n">
        <v>45986</v>
      </c>
      <c r="E224" s="1" t="n">
        <v>46223</v>
      </c>
      <c r="F224" t="inlineStr">
        <is>
          <t>NORRBOTTENS LÄN</t>
        </is>
      </c>
      <c r="G224" t="inlineStr">
        <is>
          <t>ÄLVSBYN</t>
        </is>
      </c>
      <c r="H224" t="inlineStr">
        <is>
          <t>Sveaskog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58660-2025</t>
        </is>
      </c>
      <c r="B225" t="inlineStr">
        <is>
          <t>avverkningsanmälan</t>
        </is>
      </c>
      <c r="C225" t="inlineStr">
        <is>
          <t>Föryngringsavverkning</t>
        </is>
      </c>
      <c r="D225" s="1" t="n">
        <v>45986</v>
      </c>
      <c r="E225" s="1" t="n">
        <v>46223</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29638-2023</t>
        </is>
      </c>
      <c r="B226" t="inlineStr">
        <is>
          <t>avverkningsanmälan</t>
        </is>
      </c>
      <c r="C226" t="inlineStr">
        <is>
          <t>Föryngringsavverkning</t>
        </is>
      </c>
      <c r="D226" s="1" t="n">
        <v>45098</v>
      </c>
      <c r="E226" s="1" t="n">
        <v>46223</v>
      </c>
      <c r="F226" t="inlineStr">
        <is>
          <t>NORRBOTTENS LÄN</t>
        </is>
      </c>
      <c r="G226" t="inlineStr">
        <is>
          <t>ÄLVSBYN</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58982-2025</t>
        </is>
      </c>
      <c r="B227" t="inlineStr">
        <is>
          <t>avverkningsanmälan</t>
        </is>
      </c>
      <c r="C227" t="inlineStr">
        <is>
          <t>Föryngringsavverkning</t>
        </is>
      </c>
      <c r="D227" s="1" t="n">
        <v>45987</v>
      </c>
      <c r="E227" s="1" t="n">
        <v>46223</v>
      </c>
      <c r="F227" t="inlineStr">
        <is>
          <t>NORRBOTTENS LÄN</t>
        </is>
      </c>
      <c r="G227" t="inlineStr">
        <is>
          <t>ÄLVSBYN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58848-2025</t>
        </is>
      </c>
      <c r="B228" t="inlineStr">
        <is>
          <t>avverkningsanmälan</t>
        </is>
      </c>
      <c r="C228" t="inlineStr">
        <is>
          <t>Föryngringsavverkning</t>
        </is>
      </c>
      <c r="D228" s="1" t="n">
        <v>45987</v>
      </c>
      <c r="E228" s="1" t="n">
        <v>46223</v>
      </c>
      <c r="F228" t="inlineStr">
        <is>
          <t>NORRBOTTENS LÄN</t>
        </is>
      </c>
      <c r="G228" t="inlineStr">
        <is>
          <t>ÄLVSBYN</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59110-2025</t>
        </is>
      </c>
      <c r="B229" t="inlineStr">
        <is>
          <t>avverkningsanmälan</t>
        </is>
      </c>
      <c r="C229" t="inlineStr">
        <is>
          <t>Föryngringsavverkning</t>
        </is>
      </c>
      <c r="D229" s="1" t="n">
        <v>45988</v>
      </c>
      <c r="E229" s="1" t="n">
        <v>46223</v>
      </c>
      <c r="F229" t="inlineStr">
        <is>
          <t>NORRBOTTENS LÄN</t>
        </is>
      </c>
      <c r="G229" t="inlineStr">
        <is>
          <t>ÄLVSBYN</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59737-2025</t>
        </is>
      </c>
      <c r="B230" t="inlineStr">
        <is>
          <t>avverkningsanmälan</t>
        </is>
      </c>
      <c r="C230" t="inlineStr">
        <is>
          <t>Föryngringsavverkning</t>
        </is>
      </c>
      <c r="D230" s="1" t="n">
        <v>45992</v>
      </c>
      <c r="E230" s="1" t="n">
        <v>46223</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6825-2023</t>
        </is>
      </c>
      <c r="B231" t="inlineStr">
        <is>
          <t>avverkningsanmälan</t>
        </is>
      </c>
      <c r="C231" t="inlineStr">
        <is>
          <t>Föryngringsavverkning</t>
        </is>
      </c>
      <c r="D231" s="1" t="n">
        <v>44967</v>
      </c>
      <c r="E231" s="1" t="n">
        <v>46223</v>
      </c>
      <c r="F231" t="inlineStr">
        <is>
          <t>NORRBOTTENS LÄN</t>
        </is>
      </c>
      <c r="G231" t="inlineStr">
        <is>
          <t>ÄLVSBYN</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59694-2025</t>
        </is>
      </c>
      <c r="B232" t="inlineStr">
        <is>
          <t>avverkningsanmälan</t>
        </is>
      </c>
      <c r="C232" t="inlineStr">
        <is>
          <t>Föryngringsavverkning</t>
        </is>
      </c>
      <c r="D232" s="1" t="n">
        <v>45992</v>
      </c>
      <c r="E232" s="1" t="n">
        <v>46223</v>
      </c>
      <c r="F232" t="inlineStr">
        <is>
          <t>NORRBOTTENS LÄN</t>
        </is>
      </c>
      <c r="G232" t="inlineStr">
        <is>
          <t>ÄLVSBYN</t>
        </is>
      </c>
      <c r="I232" t="n">
        <v>9.199999999999999</v>
      </c>
      <c r="J232" t="n">
        <v>0</v>
      </c>
      <c r="K232" t="n">
        <v>0</v>
      </c>
      <c r="L232" t="n">
        <v>0</v>
      </c>
      <c r="M232" t="n">
        <v>0</v>
      </c>
      <c r="N232" t="n">
        <v>0</v>
      </c>
      <c r="O232" t="n">
        <v>0</v>
      </c>
      <c r="P232" t="n">
        <v>0</v>
      </c>
      <c r="Q232" t="n">
        <v>0</v>
      </c>
      <c r="R232" t="n">
        <v>0</v>
      </c>
      <c r="S232" t="n">
        <v>0</v>
      </c>
      <c r="T232" t="n">
        <v>0</v>
      </c>
      <c r="U232" s="2" t="inlineStr"/>
    </row>
    <row r="233" ht="15" customHeight="1">
      <c r="A233" t="inlineStr">
        <is>
          <t>A 59695-2025</t>
        </is>
      </c>
      <c r="B233" t="inlineStr">
        <is>
          <t>avverkningsanmälan</t>
        </is>
      </c>
      <c r="C233" t="inlineStr">
        <is>
          <t>Föryngringsavverkning</t>
        </is>
      </c>
      <c r="D233" s="1" t="n">
        <v>45992</v>
      </c>
      <c r="E233" s="1" t="n">
        <v>46223</v>
      </c>
      <c r="F233" t="inlineStr">
        <is>
          <t>NORRBOTTENS LÄN</t>
        </is>
      </c>
      <c r="G233" t="inlineStr">
        <is>
          <t>ÄLVSBYN</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59726-2025</t>
        </is>
      </c>
      <c r="B234" t="inlineStr">
        <is>
          <t>avverkningsanmälan</t>
        </is>
      </c>
      <c r="C234" t="inlineStr">
        <is>
          <t>Föryngringsavverkning</t>
        </is>
      </c>
      <c r="D234" s="1" t="n">
        <v>45992</v>
      </c>
      <c r="E234" s="1" t="n">
        <v>46223</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59696-2025</t>
        </is>
      </c>
      <c r="B235" t="inlineStr">
        <is>
          <t>avverkningsanmälan</t>
        </is>
      </c>
      <c r="C235" t="inlineStr">
        <is>
          <t>Föryngringsavverkning</t>
        </is>
      </c>
      <c r="D235" s="1" t="n">
        <v>45992</v>
      </c>
      <c r="E235" s="1" t="n">
        <v>46223</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59676-2025</t>
        </is>
      </c>
      <c r="B236" t="inlineStr">
        <is>
          <t>avverkningsanmälan</t>
        </is>
      </c>
      <c r="C236" t="inlineStr">
        <is>
          <t>Föryngringsavverkning</t>
        </is>
      </c>
      <c r="D236" s="1" t="n">
        <v>45992</v>
      </c>
      <c r="E236" s="1" t="n">
        <v>46223</v>
      </c>
      <c r="F236" t="inlineStr">
        <is>
          <t>NORRBOTTENS LÄN</t>
        </is>
      </c>
      <c r="G236" t="inlineStr">
        <is>
          <t>ÄLVSBYN</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43-2023</t>
        </is>
      </c>
      <c r="B237" t="inlineStr">
        <is>
          <t>avverkningsanmälan</t>
        </is>
      </c>
      <c r="C237" t="inlineStr">
        <is>
          <t>Föryngringsavverkning</t>
        </is>
      </c>
      <c r="D237" s="1" t="n">
        <v>44918</v>
      </c>
      <c r="E237" s="1" t="n">
        <v>46223</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50924-2021</t>
        </is>
      </c>
      <c r="B238" t="inlineStr">
        <is>
          <t>avverkningsanmälan</t>
        </is>
      </c>
      <c r="C238" t="inlineStr">
        <is>
          <t>Föryngringsavverkning</t>
        </is>
      </c>
      <c r="D238" s="1" t="n">
        <v>44460</v>
      </c>
      <c r="E238" s="1" t="n">
        <v>46223</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s="2" t="inlineStr"/>
    </row>
    <row r="239" ht="15" customHeight="1">
      <c r="A239" t="inlineStr">
        <is>
          <t>A 22-2023</t>
        </is>
      </c>
      <c r="B239" t="inlineStr">
        <is>
          <t>avverkningsanmälan</t>
        </is>
      </c>
      <c r="C239" t="inlineStr">
        <is>
          <t>Föryngringsavverkning</t>
        </is>
      </c>
      <c r="D239" s="1" t="n">
        <v>44918</v>
      </c>
      <c r="E239" s="1" t="n">
        <v>46223</v>
      </c>
      <c r="F239" t="inlineStr">
        <is>
          <t>NORRBOTTENS LÄN</t>
        </is>
      </c>
      <c r="G239" t="inlineStr">
        <is>
          <t>ÄLVSBYN</t>
        </is>
      </c>
      <c r="I239" t="n">
        <v>8.199999999999999</v>
      </c>
      <c r="J239" t="n">
        <v>0</v>
      </c>
      <c r="K239" t="n">
        <v>0</v>
      </c>
      <c r="L239" t="n">
        <v>0</v>
      </c>
      <c r="M239" t="n">
        <v>0</v>
      </c>
      <c r="N239" t="n">
        <v>0</v>
      </c>
      <c r="O239" t="n">
        <v>0</v>
      </c>
      <c r="P239" t="n">
        <v>0</v>
      </c>
      <c r="Q239" t="n">
        <v>0</v>
      </c>
      <c r="R239" t="n">
        <v>0</v>
      </c>
      <c r="S239" t="n">
        <v>0</v>
      </c>
      <c r="T239" t="n">
        <v>0</v>
      </c>
      <c r="U239" s="2" t="inlineStr"/>
    </row>
    <row r="240" ht="15" customHeight="1">
      <c r="A240" t="inlineStr">
        <is>
          <t>A 53955-2025</t>
        </is>
      </c>
      <c r="B240" t="inlineStr">
        <is>
          <t>avverkningsanmälan</t>
        </is>
      </c>
      <c r="C240" t="inlineStr">
        <is>
          <t>Avverkning för att bevara och utveckla /försöksver</t>
        </is>
      </c>
      <c r="D240" s="1" t="n">
        <v>45961</v>
      </c>
      <c r="E240" s="1" t="n">
        <v>46223</v>
      </c>
      <c r="F240" t="inlineStr">
        <is>
          <t>NORRBOTTENS LÄN</t>
        </is>
      </c>
      <c r="G240" t="inlineStr">
        <is>
          <t>ÄLVSBYN</t>
        </is>
      </c>
      <c r="H240" t="inlineStr">
        <is>
          <t>Sveaskog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58908-2022</t>
        </is>
      </c>
      <c r="B241" t="inlineStr">
        <is>
          <t>avverkningsanmälan</t>
        </is>
      </c>
      <c r="C241" t="inlineStr">
        <is>
          <t>Föryngringsavverkning</t>
        </is>
      </c>
      <c r="D241" s="1" t="n">
        <v>44896</v>
      </c>
      <c r="E241" s="1" t="n">
        <v>46223</v>
      </c>
      <c r="F241" t="inlineStr">
        <is>
          <t>NORRBOTTENS LÄN</t>
        </is>
      </c>
      <c r="G241" t="inlineStr">
        <is>
          <t>ÄLVSBYN</t>
        </is>
      </c>
      <c r="I241" t="n">
        <v>7.8</v>
      </c>
      <c r="J241" t="n">
        <v>0</v>
      </c>
      <c r="K241" t="n">
        <v>0</v>
      </c>
      <c r="L241" t="n">
        <v>0</v>
      </c>
      <c r="M241" t="n">
        <v>0</v>
      </c>
      <c r="N241" t="n">
        <v>0</v>
      </c>
      <c r="O241" t="n">
        <v>0</v>
      </c>
      <c r="P241" t="n">
        <v>0</v>
      </c>
      <c r="Q241" t="n">
        <v>0</v>
      </c>
      <c r="R241" t="n">
        <v>0</v>
      </c>
      <c r="S241" t="n">
        <v>0</v>
      </c>
      <c r="T241" t="n">
        <v>0</v>
      </c>
      <c r="U241" s="2" t="inlineStr"/>
    </row>
    <row r="242" ht="15" customHeight="1">
      <c r="A242" t="inlineStr">
        <is>
          <t>A 30690-2024</t>
        </is>
      </c>
      <c r="B242" t="inlineStr">
        <is>
          <t>avverkningsanmälan</t>
        </is>
      </c>
      <c r="C242" t="inlineStr">
        <is>
          <t>Föryngringsavverkning</t>
        </is>
      </c>
      <c r="D242" s="1" t="n">
        <v>45495</v>
      </c>
      <c r="E242" s="1" t="n">
        <v>46223</v>
      </c>
      <c r="F242" t="inlineStr">
        <is>
          <t>NORRBOTTENS LÄN</t>
        </is>
      </c>
      <c r="G242" t="inlineStr">
        <is>
          <t>ÄLVSBYN</t>
        </is>
      </c>
      <c r="H242" t="inlineStr">
        <is>
          <t>SCA</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52087-2022</t>
        </is>
      </c>
      <c r="B243" t="inlineStr">
        <is>
          <t>avverkningsanmälan</t>
        </is>
      </c>
      <c r="C243" t="inlineStr">
        <is>
          <t>Föryngringsavverkning</t>
        </is>
      </c>
      <c r="D243" s="1" t="n">
        <v>44873</v>
      </c>
      <c r="E243" s="1" t="n">
        <v>46223</v>
      </c>
      <c r="F243" t="inlineStr">
        <is>
          <t>NORRBOTTENS LÄN</t>
        </is>
      </c>
      <c r="G243" t="inlineStr">
        <is>
          <t>ÄLVSBYN</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13329-2025</t>
        </is>
      </c>
      <c r="B244" t="inlineStr">
        <is>
          <t>avverkningsanmälan</t>
        </is>
      </c>
      <c r="C244" t="inlineStr">
        <is>
          <t>Avverkning för annat ändamål</t>
        </is>
      </c>
      <c r="D244" s="1" t="n">
        <v>45735</v>
      </c>
      <c r="E244" s="1" t="n">
        <v>46223</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s="2" t="inlineStr"/>
    </row>
    <row r="245" ht="15" customHeight="1">
      <c r="A245" t="inlineStr">
        <is>
          <t>A 63793-2025</t>
        </is>
      </c>
      <c r="B245" t="inlineStr">
        <is>
          <t>avverkningsanmälan</t>
        </is>
      </c>
      <c r="C245" t="inlineStr">
        <is>
          <t>Föryngringsavverkning</t>
        </is>
      </c>
      <c r="D245" s="1" t="n">
        <v>46019</v>
      </c>
      <c r="E245" s="1" t="n">
        <v>46223</v>
      </c>
      <c r="F245" t="inlineStr">
        <is>
          <t>NORRBOTTENS LÄN</t>
        </is>
      </c>
      <c r="G245" t="inlineStr">
        <is>
          <t>ÄLVSBYN</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63794-2025</t>
        </is>
      </c>
      <c r="B246" t="inlineStr">
        <is>
          <t>avverkningsanmälan</t>
        </is>
      </c>
      <c r="C246" t="inlineStr">
        <is>
          <t>Föryngringsavverkning</t>
        </is>
      </c>
      <c r="D246" s="1" t="n">
        <v>46019</v>
      </c>
      <c r="E246" s="1" t="n">
        <v>46223</v>
      </c>
      <c r="F246" t="inlineStr">
        <is>
          <t>NORRBOTTENS LÄN</t>
        </is>
      </c>
      <c r="G246" t="inlineStr">
        <is>
          <t>ÄLVSBYN</t>
        </is>
      </c>
      <c r="I246" t="n">
        <v>6.6</v>
      </c>
      <c r="J246" t="n">
        <v>0</v>
      </c>
      <c r="K246" t="n">
        <v>0</v>
      </c>
      <c r="L246" t="n">
        <v>0</v>
      </c>
      <c r="M246" t="n">
        <v>0</v>
      </c>
      <c r="N246" t="n">
        <v>0</v>
      </c>
      <c r="O246" t="n">
        <v>0</v>
      </c>
      <c r="P246" t="n">
        <v>0</v>
      </c>
      <c r="Q246" t="n">
        <v>0</v>
      </c>
      <c r="R246" t="n">
        <v>0</v>
      </c>
      <c r="S246" t="n">
        <v>0</v>
      </c>
      <c r="T246" t="n">
        <v>0</v>
      </c>
      <c r="U246" s="2" t="inlineStr"/>
    </row>
    <row r="247" ht="15" customHeight="1">
      <c r="A247" t="inlineStr">
        <is>
          <t>A 63795-2025</t>
        </is>
      </c>
      <c r="B247" t="inlineStr">
        <is>
          <t>avverkningsanmälan</t>
        </is>
      </c>
      <c r="C247" t="inlineStr">
        <is>
          <t>Föryngringsavverkning</t>
        </is>
      </c>
      <c r="D247" s="1" t="n">
        <v>46019</v>
      </c>
      <c r="E247" s="1" t="n">
        <v>46223</v>
      </c>
      <c r="F247" t="inlineStr">
        <is>
          <t>NORRBOTTENS LÄN</t>
        </is>
      </c>
      <c r="G247" t="inlineStr">
        <is>
          <t>ÄLVSBYN</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48163-2025</t>
        </is>
      </c>
      <c r="B248" t="inlineStr">
        <is>
          <t>avverkningsanmälan</t>
        </is>
      </c>
      <c r="C248" t="inlineStr">
        <is>
          <t>Föryngringsavverkning</t>
        </is>
      </c>
      <c r="D248" s="1" t="n">
        <v>45933</v>
      </c>
      <c r="E248" s="1" t="n">
        <v>46223</v>
      </c>
      <c r="F248" t="inlineStr">
        <is>
          <t>NORRBOTTENS LÄN</t>
        </is>
      </c>
      <c r="G248" t="inlineStr">
        <is>
          <t>ÄLVSBYN</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4929-2025</t>
        </is>
      </c>
      <c r="B249" t="inlineStr">
        <is>
          <t>avverkningsanmälan</t>
        </is>
      </c>
      <c r="C249" t="inlineStr">
        <is>
          <t>Föryngringsavverkning</t>
        </is>
      </c>
      <c r="D249" s="1" t="n">
        <v>45688</v>
      </c>
      <c r="E249" s="1" t="n">
        <v>46223</v>
      </c>
      <c r="F249" t="inlineStr">
        <is>
          <t>NORRBOTTENS LÄN</t>
        </is>
      </c>
      <c r="G249" t="inlineStr">
        <is>
          <t>ÄLVSBYN</t>
        </is>
      </c>
      <c r="I249" t="n">
        <v>11.2</v>
      </c>
      <c r="J249" t="n">
        <v>0</v>
      </c>
      <c r="K249" t="n">
        <v>0</v>
      </c>
      <c r="L249" t="n">
        <v>0</v>
      </c>
      <c r="M249" t="n">
        <v>0</v>
      </c>
      <c r="N249" t="n">
        <v>0</v>
      </c>
      <c r="O249" t="n">
        <v>0</v>
      </c>
      <c r="P249" t="n">
        <v>0</v>
      </c>
      <c r="Q249" t="n">
        <v>0</v>
      </c>
      <c r="R249" t="n">
        <v>0</v>
      </c>
      <c r="S249" t="n">
        <v>0</v>
      </c>
      <c r="T249" t="n">
        <v>0</v>
      </c>
      <c r="U249" s="2" t="inlineStr"/>
    </row>
    <row r="250" ht="15" customHeight="1">
      <c r="A250" t="inlineStr">
        <is>
          <t>A 45302-2024</t>
        </is>
      </c>
      <c r="B250" t="inlineStr">
        <is>
          <t>avverkningsanmälan</t>
        </is>
      </c>
      <c r="C250" t="inlineStr">
        <is>
          <t>Föryngringsavverkning</t>
        </is>
      </c>
      <c r="D250" s="1" t="n">
        <v>45576</v>
      </c>
      <c r="E250" s="1" t="n">
        <v>46223</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53644-2025</t>
        </is>
      </c>
      <c r="B251" t="inlineStr">
        <is>
          <t>avverkningsanmälan</t>
        </is>
      </c>
      <c r="C251" t="inlineStr">
        <is>
          <t>Föryngringsavverkning</t>
        </is>
      </c>
      <c r="D251" s="1" t="n">
        <v>45960</v>
      </c>
      <c r="E251" s="1" t="n">
        <v>46223</v>
      </c>
      <c r="F251" t="inlineStr">
        <is>
          <t>NORRBOTTENS LÄN</t>
        </is>
      </c>
      <c r="G251" t="inlineStr">
        <is>
          <t>ÄLVSBYN</t>
        </is>
      </c>
      <c r="H251" t="inlineStr">
        <is>
          <t>Sveaskog</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64872-2023</t>
        </is>
      </c>
      <c r="B252" t="inlineStr">
        <is>
          <t>avverkningsanmälan</t>
        </is>
      </c>
      <c r="C252" t="inlineStr">
        <is>
          <t>Föryngringsavverkning</t>
        </is>
      </c>
      <c r="D252" s="1" t="n">
        <v>45282</v>
      </c>
      <c r="E252" s="1" t="n">
        <v>46223</v>
      </c>
      <c r="F252" t="inlineStr">
        <is>
          <t>NORRBOTTENS LÄN</t>
        </is>
      </c>
      <c r="G252" t="inlineStr">
        <is>
          <t>ÄLVSBYN</t>
        </is>
      </c>
      <c r="H252" t="inlineStr">
        <is>
          <t>Övriga Aktiebolag</t>
        </is>
      </c>
      <c r="I252" t="n">
        <v>12.6</v>
      </c>
      <c r="J252" t="n">
        <v>0</v>
      </c>
      <c r="K252" t="n">
        <v>0</v>
      </c>
      <c r="L252" t="n">
        <v>0</v>
      </c>
      <c r="M252" t="n">
        <v>0</v>
      </c>
      <c r="N252" t="n">
        <v>0</v>
      </c>
      <c r="O252" t="n">
        <v>0</v>
      </c>
      <c r="P252" t="n">
        <v>0</v>
      </c>
      <c r="Q252" t="n">
        <v>0</v>
      </c>
      <c r="R252" t="n">
        <v>0</v>
      </c>
      <c r="S252" t="n">
        <v>0</v>
      </c>
      <c r="T252" t="n">
        <v>0</v>
      </c>
      <c r="U252" s="2" t="inlineStr"/>
    </row>
    <row r="253" ht="15" customHeight="1">
      <c r="A253" t="inlineStr">
        <is>
          <t>A 15415-2026</t>
        </is>
      </c>
      <c r="B253" t="inlineStr">
        <is>
          <t>avverkningsanmälan</t>
        </is>
      </c>
      <c r="C253" t="inlineStr">
        <is>
          <t>Föryngringsavverkning</t>
        </is>
      </c>
      <c r="D253" s="1" t="n">
        <v>46106</v>
      </c>
      <c r="E253" s="1" t="n">
        <v>46223</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15465-2026</t>
        </is>
      </c>
      <c r="B254" t="inlineStr">
        <is>
          <t>avverkningsanmälan</t>
        </is>
      </c>
      <c r="C254" t="inlineStr">
        <is>
          <t>Föryngringsavverkning</t>
        </is>
      </c>
      <c r="D254" s="1" t="n">
        <v>46106</v>
      </c>
      <c r="E254" s="1" t="n">
        <v>46223</v>
      </c>
      <c r="F254" t="inlineStr">
        <is>
          <t>NORRBOTTENS LÄN</t>
        </is>
      </c>
      <c r="G254" t="inlineStr">
        <is>
          <t>ÄLVSBYN</t>
        </is>
      </c>
      <c r="H254" t="inlineStr">
        <is>
          <t>SCA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15410-2026</t>
        </is>
      </c>
      <c r="B255" t="inlineStr">
        <is>
          <t>avverkningsanmälan</t>
        </is>
      </c>
      <c r="C255" t="inlineStr">
        <is>
          <t>Föryngringsavverkning</t>
        </is>
      </c>
      <c r="D255" s="1" t="n">
        <v>46106</v>
      </c>
      <c r="E255" s="1" t="n">
        <v>46223</v>
      </c>
      <c r="F255" t="inlineStr">
        <is>
          <t>NORRBOTTENS LÄN</t>
        </is>
      </c>
      <c r="G255" t="inlineStr">
        <is>
          <t>ÄLVSBYN</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2290-2023</t>
        </is>
      </c>
      <c r="B256" t="inlineStr">
        <is>
          <t>avverkningsanmälan</t>
        </is>
      </c>
      <c r="C256" t="inlineStr">
        <is>
          <t>Föryngringsavverkning</t>
        </is>
      </c>
      <c r="D256" s="1" t="n">
        <v>44942</v>
      </c>
      <c r="E256" s="1" t="n">
        <v>46223</v>
      </c>
      <c r="F256" t="inlineStr">
        <is>
          <t>NORRBOTTENS LÄN</t>
        </is>
      </c>
      <c r="G256" t="inlineStr">
        <is>
          <t>ÄLVSBYN</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1486-2024</t>
        </is>
      </c>
      <c r="B257" t="inlineStr">
        <is>
          <t>avverkningsanmälan</t>
        </is>
      </c>
      <c r="C257" t="inlineStr">
        <is>
          <t>Avverkning för annat ändamål</t>
        </is>
      </c>
      <c r="D257" s="1" t="n">
        <v>45305</v>
      </c>
      <c r="E257" s="1" t="n">
        <v>46223</v>
      </c>
      <c r="F257" t="inlineStr">
        <is>
          <t>NORRBOTTENS LÄN</t>
        </is>
      </c>
      <c r="G257" t="inlineStr">
        <is>
          <t>ÄLVSBYN</t>
        </is>
      </c>
      <c r="I257" t="n">
        <v>92.09999999999999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16641-2026</t>
        </is>
      </c>
      <c r="B258" t="inlineStr">
        <is>
          <t>avverkningsanmälan</t>
        </is>
      </c>
      <c r="C258" t="inlineStr">
        <is>
          <t>Föryngringsavverkning</t>
        </is>
      </c>
      <c r="D258" s="1" t="n">
        <v>46112</v>
      </c>
      <c r="E258" s="1" t="n">
        <v>46223</v>
      </c>
      <c r="F258" t="inlineStr">
        <is>
          <t>NORRBOTTENS LÄN</t>
        </is>
      </c>
      <c r="G258" t="inlineStr">
        <is>
          <t>ÄLVSBYN</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57067-2025</t>
        </is>
      </c>
      <c r="B259" t="inlineStr">
        <is>
          <t>avverkningsanmälan</t>
        </is>
      </c>
      <c r="C259" t="inlineStr">
        <is>
          <t>Föryngringsavverkning</t>
        </is>
      </c>
      <c r="D259" s="1" t="n">
        <v>45979</v>
      </c>
      <c r="E259" s="1" t="n">
        <v>46223</v>
      </c>
      <c r="F259" t="inlineStr">
        <is>
          <t>NORRBOTTENS LÄN</t>
        </is>
      </c>
      <c r="G259" t="inlineStr">
        <is>
          <t>ÄLVSBYN</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17799-2026</t>
        </is>
      </c>
      <c r="B260" t="inlineStr">
        <is>
          <t>avverkningsanmälan</t>
        </is>
      </c>
      <c r="C260" t="inlineStr">
        <is>
          <t>Föryngringsavverkning</t>
        </is>
      </c>
      <c r="D260" s="1" t="n">
        <v>46122</v>
      </c>
      <c r="E260" s="1" t="n">
        <v>46223</v>
      </c>
      <c r="F260" t="inlineStr">
        <is>
          <t>NORRBOTTENS LÄN</t>
        </is>
      </c>
      <c r="G260" t="inlineStr">
        <is>
          <t>ÄLVSBYN</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17803-2026</t>
        </is>
      </c>
      <c r="B261" t="inlineStr">
        <is>
          <t>avverkningsanmälan</t>
        </is>
      </c>
      <c r="C261" t="inlineStr">
        <is>
          <t>Föryngringsavverkning</t>
        </is>
      </c>
      <c r="D261" s="1" t="n">
        <v>46122</v>
      </c>
      <c r="E261" s="1" t="n">
        <v>46223</v>
      </c>
      <c r="F261" t="inlineStr">
        <is>
          <t>NORRBOTTENS LÄN</t>
        </is>
      </c>
      <c r="G261" t="inlineStr">
        <is>
          <t>ÄLVSBYN</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17808-2026</t>
        </is>
      </c>
      <c r="B262" t="inlineStr">
        <is>
          <t>avverkningsanmälan</t>
        </is>
      </c>
      <c r="C262" t="inlineStr">
        <is>
          <t>Föryngringsavverkning</t>
        </is>
      </c>
      <c r="D262" s="1" t="n">
        <v>46122</v>
      </c>
      <c r="E262" s="1" t="n">
        <v>46223</v>
      </c>
      <c r="F262" t="inlineStr">
        <is>
          <t>NORRBOTTENS LÄN</t>
        </is>
      </c>
      <c r="G262" t="inlineStr">
        <is>
          <t>ÄLVSBYN</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17798-2026</t>
        </is>
      </c>
      <c r="B263" t="inlineStr">
        <is>
          <t>avverkningsanmälan</t>
        </is>
      </c>
      <c r="C263" t="inlineStr">
        <is>
          <t>Föryngringsavverkning</t>
        </is>
      </c>
      <c r="D263" s="1" t="n">
        <v>46122</v>
      </c>
      <c r="E263" s="1" t="n">
        <v>46223</v>
      </c>
      <c r="F263" t="inlineStr">
        <is>
          <t>NORRBOTTENS LÄN</t>
        </is>
      </c>
      <c r="G263" t="inlineStr">
        <is>
          <t>ÄLVSBYN</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59826-2024</t>
        </is>
      </c>
      <c r="B264" t="inlineStr">
        <is>
          <t>avverkningsanmälan</t>
        </is>
      </c>
      <c r="C264" t="inlineStr">
        <is>
          <t>Föryngringsavverkning</t>
        </is>
      </c>
      <c r="D264" s="1" t="n">
        <v>45639</v>
      </c>
      <c r="E264" s="1" t="n">
        <v>46223</v>
      </c>
      <c r="F264" t="inlineStr">
        <is>
          <t>NORRBOTTENS LÄN</t>
        </is>
      </c>
      <c r="G264" t="inlineStr">
        <is>
          <t>ÄLVSBYN</t>
        </is>
      </c>
      <c r="H264" t="inlineStr">
        <is>
          <t>Övriga Aktiebolag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21895-2023</t>
        </is>
      </c>
      <c r="B265" t="inlineStr">
        <is>
          <t>avverkningsanmälan</t>
        </is>
      </c>
      <c r="C265" t="inlineStr">
        <is>
          <t>Föryngringsavverkning</t>
        </is>
      </c>
      <c r="D265" s="1" t="n">
        <v>45068</v>
      </c>
      <c r="E265" s="1" t="n">
        <v>46223</v>
      </c>
      <c r="F265" t="inlineStr">
        <is>
          <t>NORRBOTTENS LÄN</t>
        </is>
      </c>
      <c r="G265" t="inlineStr">
        <is>
          <t>ÄLVSBYN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18297-2026</t>
        </is>
      </c>
      <c r="B266" t="inlineStr">
        <is>
          <t>avverkningsanmälan</t>
        </is>
      </c>
      <c r="C266" t="inlineStr">
        <is>
          <t>Föryngringsavverkning</t>
        </is>
      </c>
      <c r="D266" s="1" t="n">
        <v>46126</v>
      </c>
      <c r="E266" s="1" t="n">
        <v>46223</v>
      </c>
      <c r="F266" t="inlineStr">
        <is>
          <t>NORRBOTTENS LÄN</t>
        </is>
      </c>
      <c r="G266" t="inlineStr">
        <is>
          <t>ÄLVSBYN</t>
        </is>
      </c>
      <c r="I266" t="n">
        <v>5.2</v>
      </c>
      <c r="J266" t="n">
        <v>0</v>
      </c>
      <c r="K266" t="n">
        <v>0</v>
      </c>
      <c r="L266" t="n">
        <v>0</v>
      </c>
      <c r="M266" t="n">
        <v>0</v>
      </c>
      <c r="N266" t="n">
        <v>0</v>
      </c>
      <c r="O266" t="n">
        <v>0</v>
      </c>
      <c r="P266" t="n">
        <v>0</v>
      </c>
      <c r="Q266" t="n">
        <v>0</v>
      </c>
      <c r="R266" t="n">
        <v>0</v>
      </c>
      <c r="S266" t="n">
        <v>0</v>
      </c>
      <c r="T266" t="n">
        <v>0</v>
      </c>
      <c r="U266" s="2" t="inlineStr"/>
    </row>
    <row r="267" ht="15" customHeight="1">
      <c r="A267" t="inlineStr">
        <is>
          <t>A 19081-2026</t>
        </is>
      </c>
      <c r="B267" t="inlineStr">
        <is>
          <t>avverkningsanmälan</t>
        </is>
      </c>
      <c r="C267" t="inlineStr">
        <is>
          <t>Föryngringsavverkning</t>
        </is>
      </c>
      <c r="D267" s="1" t="n">
        <v>46132</v>
      </c>
      <c r="E267" s="1" t="n">
        <v>46223</v>
      </c>
      <c r="F267" t="inlineStr">
        <is>
          <t>NORRBOTTENS LÄN</t>
        </is>
      </c>
      <c r="G267" t="inlineStr">
        <is>
          <t>ÄLVSBYN</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39551-2023</t>
        </is>
      </c>
      <c r="B268" t="inlineStr">
        <is>
          <t>avverkningsanmälan</t>
        </is>
      </c>
      <c r="C268" t="inlineStr">
        <is>
          <t>Föryngringsavverkning</t>
        </is>
      </c>
      <c r="D268" s="1" t="n">
        <v>45167</v>
      </c>
      <c r="E268" s="1" t="n">
        <v>46223</v>
      </c>
      <c r="F268" t="inlineStr">
        <is>
          <t>NORRBOTTENS LÄN</t>
        </is>
      </c>
      <c r="G268" t="inlineStr">
        <is>
          <t>ÄLVSBYN</t>
        </is>
      </c>
      <c r="I268" t="n">
        <v>10.4</v>
      </c>
      <c r="J268" t="n">
        <v>0</v>
      </c>
      <c r="K268" t="n">
        <v>0</v>
      </c>
      <c r="L268" t="n">
        <v>0</v>
      </c>
      <c r="M268" t="n">
        <v>0</v>
      </c>
      <c r="N268" t="n">
        <v>0</v>
      </c>
      <c r="O268" t="n">
        <v>0</v>
      </c>
      <c r="P268" t="n">
        <v>0</v>
      </c>
      <c r="Q268" t="n">
        <v>0</v>
      </c>
      <c r="R268" t="n">
        <v>0</v>
      </c>
      <c r="S268" t="n">
        <v>0</v>
      </c>
      <c r="T268" t="n">
        <v>0</v>
      </c>
      <c r="U268" s="2" t="inlineStr"/>
    </row>
    <row r="269" ht="15" customHeight="1">
      <c r="A269" t="inlineStr">
        <is>
          <t>A 46786-2024</t>
        </is>
      </c>
      <c r="B269" t="inlineStr">
        <is>
          <t>avverkningsanmälan</t>
        </is>
      </c>
      <c r="C269" t="inlineStr">
        <is>
          <t>Föryngringsavverkning</t>
        </is>
      </c>
      <c r="D269" s="1" t="n">
        <v>45583</v>
      </c>
      <c r="E269" s="1" t="n">
        <v>46223</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39668-2024</t>
        </is>
      </c>
      <c r="B270" t="inlineStr">
        <is>
          <t>avverkningsanmälan</t>
        </is>
      </c>
      <c r="C270" t="inlineStr">
        <is>
          <t>Föryngringsavverkning</t>
        </is>
      </c>
      <c r="D270" s="1" t="n">
        <v>45552</v>
      </c>
      <c r="E270" s="1" t="n">
        <v>46223</v>
      </c>
      <c r="F270" t="inlineStr">
        <is>
          <t>NORRBOTTENS LÄN</t>
        </is>
      </c>
      <c r="G270" t="inlineStr">
        <is>
          <t>ÄLVSBYN</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60773-2024</t>
        </is>
      </c>
      <c r="B271" t="inlineStr">
        <is>
          <t>avverkningsanmälan</t>
        </is>
      </c>
      <c r="C271" t="inlineStr">
        <is>
          <t>Föryngringsavverkning</t>
        </is>
      </c>
      <c r="D271" s="1" t="n">
        <v>45644</v>
      </c>
      <c r="E271" s="1" t="n">
        <v>46223</v>
      </c>
      <c r="F271" t="inlineStr">
        <is>
          <t>NORRBOTTENS LÄN</t>
        </is>
      </c>
      <c r="G271" t="inlineStr">
        <is>
          <t>ÄLVSBYN</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6275-2024</t>
        </is>
      </c>
      <c r="B272" t="inlineStr">
        <is>
          <t>avverkningsanmälan</t>
        </is>
      </c>
      <c r="C272" t="inlineStr">
        <is>
          <t>Föryngringsavverkning</t>
        </is>
      </c>
      <c r="D272" s="1" t="n">
        <v>45337</v>
      </c>
      <c r="E272" s="1" t="n">
        <v>46223</v>
      </c>
      <c r="F272" t="inlineStr">
        <is>
          <t>NORRBOTTENS LÄN</t>
        </is>
      </c>
      <c r="G272" t="inlineStr">
        <is>
          <t>ÄLVSBYN</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73774-2021</t>
        </is>
      </c>
      <c r="B273" t="inlineStr">
        <is>
          <t>avverkningsanmälan</t>
        </is>
      </c>
      <c r="C273" t="inlineStr">
        <is>
          <t>Avverkning för annat ändamål</t>
        </is>
      </c>
      <c r="D273" s="1" t="n">
        <v>44552</v>
      </c>
      <c r="E273" s="1" t="n">
        <v>46223</v>
      </c>
      <c r="F273" t="inlineStr">
        <is>
          <t>NORRBOTTENS LÄN</t>
        </is>
      </c>
      <c r="G273" t="inlineStr">
        <is>
          <t>ÄLVSBYN</t>
        </is>
      </c>
      <c r="H273" t="inlineStr">
        <is>
          <t>Sveaskog</t>
        </is>
      </c>
      <c r="I273" t="n">
        <v>5.4</v>
      </c>
      <c r="J273" t="n">
        <v>0</v>
      </c>
      <c r="K273" t="n">
        <v>0</v>
      </c>
      <c r="L273" t="n">
        <v>0</v>
      </c>
      <c r="M273" t="n">
        <v>0</v>
      </c>
      <c r="N273" t="n">
        <v>0</v>
      </c>
      <c r="O273" t="n">
        <v>0</v>
      </c>
      <c r="P273" t="n">
        <v>0</v>
      </c>
      <c r="Q273" t="n">
        <v>0</v>
      </c>
      <c r="R273" t="n">
        <v>0</v>
      </c>
      <c r="S273" t="n">
        <v>0</v>
      </c>
      <c r="T273" t="n">
        <v>0</v>
      </c>
      <c r="U273" s="2" t="inlineStr"/>
    </row>
    <row r="274" ht="15" customHeight="1">
      <c r="A274" t="inlineStr">
        <is>
          <t>A 29683-2024</t>
        </is>
      </c>
      <c r="B274" t="inlineStr">
        <is>
          <t>avverkningsanmälan</t>
        </is>
      </c>
      <c r="C274" t="inlineStr">
        <is>
          <t>Föryngringsavverkning</t>
        </is>
      </c>
      <c r="D274" s="1" t="n">
        <v>45484</v>
      </c>
      <c r="E274" s="1" t="n">
        <v>46223</v>
      </c>
      <c r="F274" t="inlineStr">
        <is>
          <t>NORRBOTTENS LÄN</t>
        </is>
      </c>
      <c r="G274" t="inlineStr">
        <is>
          <t>ÄLVSBYN</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8553-2025</t>
        </is>
      </c>
      <c r="B275" t="inlineStr">
        <is>
          <t>avverkningsanmälan</t>
        </is>
      </c>
      <c r="C275" t="inlineStr">
        <is>
          <t>Föryngringsavverkning</t>
        </is>
      </c>
      <c r="D275" s="1" t="n">
        <v>45709</v>
      </c>
      <c r="E275" s="1" t="n">
        <v>46223</v>
      </c>
      <c r="F275" t="inlineStr">
        <is>
          <t>NORRBOTTENS LÄN</t>
        </is>
      </c>
      <c r="G275" t="inlineStr">
        <is>
          <t>ÄLVSBYN</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20254-2024</t>
        </is>
      </c>
      <c r="B276" t="inlineStr">
        <is>
          <t>avverkningsanmälan</t>
        </is>
      </c>
      <c r="C276" t="inlineStr">
        <is>
          <t>Föryngringsavverkning</t>
        </is>
      </c>
      <c r="D276" s="1" t="n">
        <v>45434</v>
      </c>
      <c r="E276" s="1" t="n">
        <v>46223</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s="2" t="inlineStr"/>
    </row>
    <row r="277" ht="15" customHeight="1">
      <c r="A277" t="inlineStr">
        <is>
          <t>A 58447-2023</t>
        </is>
      </c>
      <c r="B277" t="inlineStr">
        <is>
          <t>avverkningsanmälan</t>
        </is>
      </c>
      <c r="C277" t="inlineStr">
        <is>
          <t>Föryngringsavverkning</t>
        </is>
      </c>
      <c r="D277" s="1" t="n">
        <v>45250</v>
      </c>
      <c r="E277" s="1" t="n">
        <v>46223</v>
      </c>
      <c r="F277" t="inlineStr">
        <is>
          <t>NORRBOTTENS LÄN</t>
        </is>
      </c>
      <c r="G277" t="inlineStr">
        <is>
          <t>ÄLVSBYN</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9631-2022</t>
        </is>
      </c>
      <c r="B278" t="inlineStr">
        <is>
          <t>avverkningsanmälan</t>
        </is>
      </c>
      <c r="C278" t="inlineStr">
        <is>
          <t>Avverkning för annat ändamål</t>
        </is>
      </c>
      <c r="D278" s="1" t="n">
        <v>44617</v>
      </c>
      <c r="E278" s="1" t="n">
        <v>46223</v>
      </c>
      <c r="F278" t="inlineStr">
        <is>
          <t>NORRBOTTENS LÄN</t>
        </is>
      </c>
      <c r="G278" t="inlineStr">
        <is>
          <t>ÄLVSBYN</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46406-2023</t>
        </is>
      </c>
      <c r="B279" t="inlineStr">
        <is>
          <t>avverkningsanmälan</t>
        </is>
      </c>
      <c r="C279" t="inlineStr">
        <is>
          <t>Föryngringsavverkning</t>
        </is>
      </c>
      <c r="D279" s="1" t="n">
        <v>45194</v>
      </c>
      <c r="E279" s="1" t="n">
        <v>46223</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26244-2026</t>
        </is>
      </c>
      <c r="B280" t="inlineStr">
        <is>
          <t>avverkningsanmälan</t>
        </is>
      </c>
      <c r="C280" t="inlineStr">
        <is>
          <t>Föryngringsavverkning</t>
        </is>
      </c>
      <c r="D280" s="1" t="n">
        <v>46182</v>
      </c>
      <c r="E280" s="1" t="n">
        <v>46223</v>
      </c>
      <c r="F280" t="inlineStr">
        <is>
          <t>NORRBOTTENS LÄN</t>
        </is>
      </c>
      <c r="G280" t="inlineStr">
        <is>
          <t>ÄLVSBYN</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49398-2025</t>
        </is>
      </c>
      <c r="B281" t="inlineStr">
        <is>
          <t>avverkningsanmälan</t>
        </is>
      </c>
      <c r="C281" t="inlineStr">
        <is>
          <t>Föryngringsavverkning</t>
        </is>
      </c>
      <c r="D281" s="1" t="n">
        <v>45938</v>
      </c>
      <c r="E281" s="1" t="n">
        <v>46223</v>
      </c>
      <c r="F281" t="inlineStr">
        <is>
          <t>NORRBOTTENS LÄN</t>
        </is>
      </c>
      <c r="G281" t="inlineStr">
        <is>
          <t>ÄLVSBYN</t>
        </is>
      </c>
      <c r="H281" t="inlineStr">
        <is>
          <t>Sveaskog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52265-2025</t>
        </is>
      </c>
      <c r="B282" t="inlineStr">
        <is>
          <t>avverkningsanmälan</t>
        </is>
      </c>
      <c r="C282" t="inlineStr">
        <is>
          <t>Föryngringsavverkning</t>
        </is>
      </c>
      <c r="D282" s="1" t="n">
        <v>45953</v>
      </c>
      <c r="E282" s="1" t="n">
        <v>46223</v>
      </c>
      <c r="F282" t="inlineStr">
        <is>
          <t>NORRBOTTENS LÄN</t>
        </is>
      </c>
      <c r="G282" t="inlineStr">
        <is>
          <t>ÄLVSBYN</t>
        </is>
      </c>
      <c r="H282" t="inlineStr">
        <is>
          <t>SCA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59484-2025</t>
        </is>
      </c>
      <c r="B283" t="inlineStr">
        <is>
          <t>avverkningsanmälan</t>
        </is>
      </c>
      <c r="C283" t="inlineStr">
        <is>
          <t>Föryngringsavverkning</t>
        </is>
      </c>
      <c r="D283" s="1" t="n">
        <v>45989</v>
      </c>
      <c r="E283" s="1" t="n">
        <v>46223</v>
      </c>
      <c r="F283" t="inlineStr">
        <is>
          <t>NORRBOTTENS LÄN</t>
        </is>
      </c>
      <c r="G283" t="inlineStr">
        <is>
          <t>ÄLVSBYN</t>
        </is>
      </c>
      <c r="I283" t="n">
        <v>14.1</v>
      </c>
      <c r="J283" t="n">
        <v>0</v>
      </c>
      <c r="K283" t="n">
        <v>0</v>
      </c>
      <c r="L283" t="n">
        <v>0</v>
      </c>
      <c r="M283" t="n">
        <v>0</v>
      </c>
      <c r="N283" t="n">
        <v>0</v>
      </c>
      <c r="O283" t="n">
        <v>0</v>
      </c>
      <c r="P283" t="n">
        <v>0</v>
      </c>
      <c r="Q283" t="n">
        <v>0</v>
      </c>
      <c r="R283" t="n">
        <v>0</v>
      </c>
      <c r="S283" t="n">
        <v>0</v>
      </c>
      <c r="T283" t="n">
        <v>0</v>
      </c>
      <c r="U283" s="2" t="inlineStr"/>
    </row>
    <row r="284" ht="15" customHeight="1">
      <c r="A284" t="inlineStr">
        <is>
          <t>A 9623-2022</t>
        </is>
      </c>
      <c r="B284" t="inlineStr">
        <is>
          <t>avverkningsanmälan</t>
        </is>
      </c>
      <c r="C284" t="inlineStr">
        <is>
          <t>Föryngringsavverkning</t>
        </is>
      </c>
      <c r="D284" s="1" t="n">
        <v>44617</v>
      </c>
      <c r="E284" s="1" t="n">
        <v>46223</v>
      </c>
      <c r="F284" t="inlineStr">
        <is>
          <t>NORRBOTTENS LÄN</t>
        </is>
      </c>
      <c r="G284" t="inlineStr">
        <is>
          <t>ÄLVSBYN</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5650-2024</t>
        </is>
      </c>
      <c r="B285" t="inlineStr">
        <is>
          <t>avverkningsanmälan</t>
        </is>
      </c>
      <c r="C285" t="inlineStr">
        <is>
          <t>Föryngringsavverkning</t>
        </is>
      </c>
      <c r="D285" s="1" t="n">
        <v>45334</v>
      </c>
      <c r="E285" s="1" t="n">
        <v>46223</v>
      </c>
      <c r="F285" t="inlineStr">
        <is>
          <t>NORRBOTTENS LÄN</t>
        </is>
      </c>
      <c r="G285" t="inlineStr">
        <is>
          <t>ÄLVSBYN</t>
        </is>
      </c>
      <c r="I285" t="n">
        <v>11.8</v>
      </c>
      <c r="J285" t="n">
        <v>0</v>
      </c>
      <c r="K285" t="n">
        <v>0</v>
      </c>
      <c r="L285" t="n">
        <v>0</v>
      </c>
      <c r="M285" t="n">
        <v>0</v>
      </c>
      <c r="N285" t="n">
        <v>0</v>
      </c>
      <c r="O285" t="n">
        <v>0</v>
      </c>
      <c r="P285" t="n">
        <v>0</v>
      </c>
      <c r="Q285" t="n">
        <v>0</v>
      </c>
      <c r="R285" t="n">
        <v>0</v>
      </c>
      <c r="S285" t="n">
        <v>0</v>
      </c>
      <c r="T285" t="n">
        <v>0</v>
      </c>
      <c r="U285" s="2" t="inlineStr"/>
    </row>
    <row r="286" ht="15" customHeight="1">
      <c r="A286" t="inlineStr">
        <is>
          <t>A 42141-2025</t>
        </is>
      </c>
      <c r="B286" t="inlineStr">
        <is>
          <t>avverkningsanmälan</t>
        </is>
      </c>
      <c r="C286" t="inlineStr">
        <is>
          <t>Föryngringsavverkning</t>
        </is>
      </c>
      <c r="D286" s="1" t="n">
        <v>45904</v>
      </c>
      <c r="E286" s="1" t="n">
        <v>46223</v>
      </c>
      <c r="F286" t="inlineStr">
        <is>
          <t>NORRBOTTENS LÄN</t>
        </is>
      </c>
      <c r="G286" t="inlineStr">
        <is>
          <t>ÄLVSBYN</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36861-2025</t>
        </is>
      </c>
      <c r="B287" t="inlineStr">
        <is>
          <t>avverkningsanmälan</t>
        </is>
      </c>
      <c r="C287" t="inlineStr">
        <is>
          <t>Föryngringsavverkning</t>
        </is>
      </c>
      <c r="D287" s="1" t="n">
        <v>45874</v>
      </c>
      <c r="E287" s="1" t="n">
        <v>46223</v>
      </c>
      <c r="F287" t="inlineStr">
        <is>
          <t>NORRBOTTENS LÄN</t>
        </is>
      </c>
      <c r="G287" t="inlineStr">
        <is>
          <t>ÄLVSBYN</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55181-2024</t>
        </is>
      </c>
      <c r="B288" t="inlineStr">
        <is>
          <t>avverkningsanmälan</t>
        </is>
      </c>
      <c r="C288" t="inlineStr">
        <is>
          <t>Föryngringsavverkning</t>
        </is>
      </c>
      <c r="D288" s="1" t="n">
        <v>45621</v>
      </c>
      <c r="E288" s="1" t="n">
        <v>46223</v>
      </c>
      <c r="F288" t="inlineStr">
        <is>
          <t>NORRBOTTENS LÄN</t>
        </is>
      </c>
      <c r="G288" t="inlineStr">
        <is>
          <t>ÄLVSBYN</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8554-2025</t>
        </is>
      </c>
      <c r="B289" t="inlineStr">
        <is>
          <t>avverkningsanmälan</t>
        </is>
      </c>
      <c r="C289" t="inlineStr">
        <is>
          <t>Föryngringsavverkning</t>
        </is>
      </c>
      <c r="D289" s="1" t="n">
        <v>45709</v>
      </c>
      <c r="E289" s="1" t="n">
        <v>46223</v>
      </c>
      <c r="F289" t="inlineStr">
        <is>
          <t>NORRBOTTENS LÄN</t>
        </is>
      </c>
      <c r="G289" t="inlineStr">
        <is>
          <t>ÄLVSBYN</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46404-2023</t>
        </is>
      </c>
      <c r="B290" t="inlineStr">
        <is>
          <t>avverkningsanmälan</t>
        </is>
      </c>
      <c r="C290" t="inlineStr">
        <is>
          <t>Föryngringsavverkning</t>
        </is>
      </c>
      <c r="D290" s="1" t="n">
        <v>45194</v>
      </c>
      <c r="E290" s="1" t="n">
        <v>46223</v>
      </c>
      <c r="F290" t="inlineStr">
        <is>
          <t>NORRBOTTENS LÄN</t>
        </is>
      </c>
      <c r="G290" t="inlineStr">
        <is>
          <t>ÄLVSBYN</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24760-2022</t>
        </is>
      </c>
      <c r="B291" t="inlineStr">
        <is>
          <t>avverkningsanmälan</t>
        </is>
      </c>
      <c r="C291" t="inlineStr">
        <is>
          <t>Föryngringsavverkning</t>
        </is>
      </c>
      <c r="D291" s="1" t="n">
        <v>44728</v>
      </c>
      <c r="E291" s="1" t="n">
        <v>46223</v>
      </c>
      <c r="F291" t="inlineStr">
        <is>
          <t>NORRBOTTENS LÄN</t>
        </is>
      </c>
      <c r="G291" t="inlineStr">
        <is>
          <t>ÄLVSBYN</t>
        </is>
      </c>
      <c r="I291" t="n">
        <v>14.2</v>
      </c>
      <c r="J291" t="n">
        <v>0</v>
      </c>
      <c r="K291" t="n">
        <v>0</v>
      </c>
      <c r="L291" t="n">
        <v>0</v>
      </c>
      <c r="M291" t="n">
        <v>0</v>
      </c>
      <c r="N291" t="n">
        <v>0</v>
      </c>
      <c r="O291" t="n">
        <v>0</v>
      </c>
      <c r="P291" t="n">
        <v>0</v>
      </c>
      <c r="Q291" t="n">
        <v>0</v>
      </c>
      <c r="R291" t="n">
        <v>0</v>
      </c>
      <c r="S291" t="n">
        <v>0</v>
      </c>
      <c r="T291" t="n">
        <v>0</v>
      </c>
      <c r="U291" s="2" t="inlineStr"/>
    </row>
    <row r="292" ht="15" customHeight="1">
      <c r="A292" t="inlineStr">
        <is>
          <t>A 52397-2023</t>
        </is>
      </c>
      <c r="B292" t="inlineStr">
        <is>
          <t>avverkningsanmälan</t>
        </is>
      </c>
      <c r="C292" t="inlineStr">
        <is>
          <t>Föryngringsavverkning</t>
        </is>
      </c>
      <c r="D292" s="1" t="n">
        <v>45224</v>
      </c>
      <c r="E292" s="1" t="n">
        <v>46223</v>
      </c>
      <c r="F292" t="inlineStr">
        <is>
          <t>NORRBOTTENS LÄN</t>
        </is>
      </c>
      <c r="G292" t="inlineStr">
        <is>
          <t>ÄLVSBYN</t>
        </is>
      </c>
      <c r="H292" t="inlineStr">
        <is>
          <t>SCA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63954-2023</t>
        </is>
      </c>
      <c r="B293" t="inlineStr">
        <is>
          <t>avverkningsanmälan</t>
        </is>
      </c>
      <c r="C293" t="inlineStr">
        <is>
          <t>Föryngringsavverkning</t>
        </is>
      </c>
      <c r="D293" s="1" t="n">
        <v>45278</v>
      </c>
      <c r="E293" s="1" t="n">
        <v>46223</v>
      </c>
      <c r="F293" t="inlineStr">
        <is>
          <t>NORRBOTTENS LÄN</t>
        </is>
      </c>
      <c r="G293" t="inlineStr">
        <is>
          <t>ÄLVSBYN</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20953-2026</t>
        </is>
      </c>
      <c r="B294" t="inlineStr">
        <is>
          <t>avverkningsanmälan</t>
        </is>
      </c>
      <c r="C294" t="inlineStr">
        <is>
          <t>Föryngringsavverkning</t>
        </is>
      </c>
      <c r="D294" s="1" t="n">
        <v>46142</v>
      </c>
      <c r="E294" s="1" t="n">
        <v>46223</v>
      </c>
      <c r="F294" t="inlineStr">
        <is>
          <t>NORRBOTTENS LÄN</t>
        </is>
      </c>
      <c r="G294" t="inlineStr">
        <is>
          <t>ÄLVSBYN</t>
        </is>
      </c>
      <c r="H294" t="inlineStr">
        <is>
          <t>SCA</t>
        </is>
      </c>
      <c r="I294" t="n">
        <v>5.8</v>
      </c>
      <c r="J294" t="n">
        <v>0</v>
      </c>
      <c r="K294" t="n">
        <v>0</v>
      </c>
      <c r="L294" t="n">
        <v>0</v>
      </c>
      <c r="M294" t="n">
        <v>0</v>
      </c>
      <c r="N294" t="n">
        <v>0</v>
      </c>
      <c r="O294" t="n">
        <v>0</v>
      </c>
      <c r="P294" t="n">
        <v>0</v>
      </c>
      <c r="Q294" t="n">
        <v>0</v>
      </c>
      <c r="R294" t="n">
        <v>0</v>
      </c>
      <c r="S294" t="n">
        <v>0</v>
      </c>
      <c r="T294" t="n">
        <v>0</v>
      </c>
      <c r="U294" s="2" t="inlineStr"/>
    </row>
    <row r="295" ht="15" customHeight="1">
      <c r="A295" t="inlineStr">
        <is>
          <t>A 3038-2025</t>
        </is>
      </c>
      <c r="B295" t="inlineStr">
        <is>
          <t>avverkningsanmälan</t>
        </is>
      </c>
      <c r="C295" t="inlineStr">
        <is>
          <t>Föryngringsavverkning</t>
        </is>
      </c>
      <c r="D295" s="1" t="n">
        <v>45678</v>
      </c>
      <c r="E295" s="1" t="n">
        <v>46223</v>
      </c>
      <c r="F295" t="inlineStr">
        <is>
          <t>NORRBOTTENS LÄN</t>
        </is>
      </c>
      <c r="G295" t="inlineStr">
        <is>
          <t>ÄLVSBYN</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33848-2022</t>
        </is>
      </c>
      <c r="B296" t="inlineStr">
        <is>
          <t>avverkningsanmälan</t>
        </is>
      </c>
      <c r="C296" t="inlineStr">
        <is>
          <t>Föryngringsavverkning</t>
        </is>
      </c>
      <c r="D296" s="1" t="n">
        <v>44790</v>
      </c>
      <c r="E296" s="1" t="n">
        <v>46223</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64407-2023</t>
        </is>
      </c>
      <c r="B297" t="inlineStr">
        <is>
          <t>avverkningsanmälan</t>
        </is>
      </c>
      <c r="C297" t="inlineStr">
        <is>
          <t>Föryngringsavverkning</t>
        </is>
      </c>
      <c r="D297" s="1" t="n">
        <v>45280</v>
      </c>
      <c r="E297" s="1" t="n">
        <v>46223</v>
      </c>
      <c r="F297" t="inlineStr">
        <is>
          <t>NORRBOTTENS LÄN</t>
        </is>
      </c>
      <c r="G297" t="inlineStr">
        <is>
          <t>ÄLVSBYN</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26810-2026</t>
        </is>
      </c>
      <c r="B298" t="inlineStr">
        <is>
          <t>avverkningsanmälan</t>
        </is>
      </c>
      <c r="C298" t="inlineStr">
        <is>
          <t>Föryngringsavverkning</t>
        </is>
      </c>
      <c r="D298" s="1" t="n">
        <v>46185</v>
      </c>
      <c r="E298" s="1" t="n">
        <v>46223</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404-2024</t>
        </is>
      </c>
      <c r="B299" t="inlineStr">
        <is>
          <t>avverkningsanmälan</t>
        </is>
      </c>
      <c r="C299" t="inlineStr">
        <is>
          <t>Föryngringsavverkning</t>
        </is>
      </c>
      <c r="D299" s="1" t="n">
        <v>45296</v>
      </c>
      <c r="E299" s="1" t="n">
        <v>46223</v>
      </c>
      <c r="F299" t="inlineStr">
        <is>
          <t>NORRBOTTENS LÄN</t>
        </is>
      </c>
      <c r="G299" t="inlineStr">
        <is>
          <t>ÄLVSBYN</t>
        </is>
      </c>
      <c r="I299" t="n">
        <v>4.4</v>
      </c>
      <c r="J299" t="n">
        <v>0</v>
      </c>
      <c r="K299" t="n">
        <v>0</v>
      </c>
      <c r="L299" t="n">
        <v>0</v>
      </c>
      <c r="M299" t="n">
        <v>0</v>
      </c>
      <c r="N299" t="n">
        <v>0</v>
      </c>
      <c r="O299" t="n">
        <v>0</v>
      </c>
      <c r="P299" t="n">
        <v>0</v>
      </c>
      <c r="Q299" t="n">
        <v>0</v>
      </c>
      <c r="R299" t="n">
        <v>0</v>
      </c>
      <c r="S299" t="n">
        <v>0</v>
      </c>
      <c r="T299" t="n">
        <v>0</v>
      </c>
      <c r="U299" s="2" t="inlineStr"/>
    </row>
    <row r="300" ht="15" customHeight="1">
      <c r="A300" t="inlineStr">
        <is>
          <t>A 21528-2026</t>
        </is>
      </c>
      <c r="B300" t="inlineStr">
        <is>
          <t>avverkningsanmälan</t>
        </is>
      </c>
      <c r="C300" t="inlineStr">
        <is>
          <t>Föryngringsavverkning</t>
        </is>
      </c>
      <c r="D300" s="1" t="n">
        <v>46148</v>
      </c>
      <c r="E300" s="1" t="n">
        <v>46223</v>
      </c>
      <c r="F300" t="inlineStr">
        <is>
          <t>NORRBOTTENS LÄN</t>
        </is>
      </c>
      <c r="G300" t="inlineStr">
        <is>
          <t>ÄLVSBYN</t>
        </is>
      </c>
      <c r="H300" t="inlineStr">
        <is>
          <t>Sveaskog</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21265-2026</t>
        </is>
      </c>
      <c r="B301" t="inlineStr">
        <is>
          <t>avverkningsanmälan</t>
        </is>
      </c>
      <c r="C301" t="inlineStr">
        <is>
          <t>Föryngringsavverkning</t>
        </is>
      </c>
      <c r="D301" s="1" t="n">
        <v>46147</v>
      </c>
      <c r="E301" s="1" t="n">
        <v>46223</v>
      </c>
      <c r="F301" t="inlineStr">
        <is>
          <t>NORRBOTTENS LÄN</t>
        </is>
      </c>
      <c r="G301" t="inlineStr">
        <is>
          <t>ÄLVSBYN</t>
        </is>
      </c>
      <c r="H301" t="inlineStr">
        <is>
          <t>Sveaskog</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58515-2023</t>
        </is>
      </c>
      <c r="B302" t="inlineStr">
        <is>
          <t>avverkningsanmälan</t>
        </is>
      </c>
      <c r="C302" t="inlineStr">
        <is>
          <t>Föryngringsavverkning</t>
        </is>
      </c>
      <c r="D302" s="1" t="n">
        <v>45251</v>
      </c>
      <c r="E302" s="1" t="n">
        <v>46223</v>
      </c>
      <c r="F302" t="inlineStr">
        <is>
          <t>NORRBOTTENS LÄN</t>
        </is>
      </c>
      <c r="G302" t="inlineStr">
        <is>
          <t>ÄLVSBYN</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27445-2026</t>
        </is>
      </c>
      <c r="B303" t="inlineStr">
        <is>
          <t>avverkningsanmälan</t>
        </is>
      </c>
      <c r="C303" t="inlineStr">
        <is>
          <t>Föryngringsavverkning</t>
        </is>
      </c>
      <c r="D303" s="1" t="n">
        <v>46189</v>
      </c>
      <c r="E303" s="1" t="n">
        <v>46223</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27789-2026</t>
        </is>
      </c>
      <c r="B304" t="inlineStr">
        <is>
          <t>avverkningsanmälan</t>
        </is>
      </c>
      <c r="C304" t="inlineStr">
        <is>
          <t>Föryngringsavverkning</t>
        </is>
      </c>
      <c r="D304" s="1" t="n">
        <v>46191</v>
      </c>
      <c r="E304" s="1" t="n">
        <v>46223</v>
      </c>
      <c r="F304" t="inlineStr">
        <is>
          <t>NORRBOTTENS LÄN</t>
        </is>
      </c>
      <c r="G304" t="inlineStr">
        <is>
          <t>ÄLVSBYN</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21877-2026</t>
        </is>
      </c>
      <c r="B305" t="inlineStr">
        <is>
          <t>avverkningsanmälan</t>
        </is>
      </c>
      <c r="C305" t="inlineStr">
        <is>
          <t>Föryngringsavverkning</t>
        </is>
      </c>
      <c r="D305" s="1" t="n">
        <v>46150</v>
      </c>
      <c r="E305" s="1" t="n">
        <v>46223</v>
      </c>
      <c r="F305" t="inlineStr">
        <is>
          <t>NORRBOTTENS LÄN</t>
        </is>
      </c>
      <c r="G305" t="inlineStr">
        <is>
          <t>ÄLVSBYN</t>
        </is>
      </c>
      <c r="H305" t="inlineStr">
        <is>
          <t>Sveaskog</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48742-2022</t>
        </is>
      </c>
      <c r="B306" t="inlineStr">
        <is>
          <t>avverkningsanmälan</t>
        </is>
      </c>
      <c r="C306" t="inlineStr">
        <is>
          <t>Föryngringsavverkning</t>
        </is>
      </c>
      <c r="D306" s="1" t="n">
        <v>44855</v>
      </c>
      <c r="E306" s="1" t="n">
        <v>46223</v>
      </c>
      <c r="F306" t="inlineStr">
        <is>
          <t>NORRBOTTENS LÄN</t>
        </is>
      </c>
      <c r="G306" t="inlineStr">
        <is>
          <t>ÄLVSBYN</t>
        </is>
      </c>
      <c r="I306" t="n">
        <v>9.199999999999999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21775-2026</t>
        </is>
      </c>
      <c r="B307" t="inlineStr">
        <is>
          <t>avverkningsanmälan</t>
        </is>
      </c>
      <c r="C307" t="inlineStr">
        <is>
          <t>Föryngringsavverkning</t>
        </is>
      </c>
      <c r="D307" s="1" t="n">
        <v>46150</v>
      </c>
      <c r="E307" s="1" t="n">
        <v>46223</v>
      </c>
      <c r="F307" t="inlineStr">
        <is>
          <t>NORRBOTTENS LÄN</t>
        </is>
      </c>
      <c r="G307" t="inlineStr">
        <is>
          <t>ÄLVSBYN</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21922-2026</t>
        </is>
      </c>
      <c r="B308" t="inlineStr">
        <is>
          <t>avverkningsanmälan</t>
        </is>
      </c>
      <c r="C308" t="inlineStr">
        <is>
          <t>Föryngringsavverkning</t>
        </is>
      </c>
      <c r="D308" s="1" t="n">
        <v>46150</v>
      </c>
      <c r="E308" s="1" t="n">
        <v>46223</v>
      </c>
      <c r="F308" t="inlineStr">
        <is>
          <t>NORRBOTTENS LÄN</t>
        </is>
      </c>
      <c r="G308" t="inlineStr">
        <is>
          <t>ÄLVSBYN</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27833-2026</t>
        </is>
      </c>
      <c r="B309" t="inlineStr">
        <is>
          <t>avverkningsanmälan</t>
        </is>
      </c>
      <c r="C309" t="inlineStr">
        <is>
          <t>Föryngringsavverkning</t>
        </is>
      </c>
      <c r="D309" s="1" t="n">
        <v>46191</v>
      </c>
      <c r="E309" s="1" t="n">
        <v>46223</v>
      </c>
      <c r="F309" t="inlineStr">
        <is>
          <t>NORRBOTTENS LÄN</t>
        </is>
      </c>
      <c r="G309" t="inlineStr">
        <is>
          <t>ÄLVSBYN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21921-2026</t>
        </is>
      </c>
      <c r="B310" t="inlineStr">
        <is>
          <t>avverkningsanmälan</t>
        </is>
      </c>
      <c r="C310" t="inlineStr">
        <is>
          <t>Föryngringsavverkning</t>
        </is>
      </c>
      <c r="D310" s="1" t="n">
        <v>46150</v>
      </c>
      <c r="E310" s="1" t="n">
        <v>46223</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15251-2023</t>
        </is>
      </c>
      <c r="B311" t="inlineStr">
        <is>
          <t>avverkningsanmälan</t>
        </is>
      </c>
      <c r="C311" t="inlineStr">
        <is>
          <t>Föryngringsavverkning</t>
        </is>
      </c>
      <c r="D311" s="1" t="n">
        <v>45016</v>
      </c>
      <c r="E311" s="1" t="n">
        <v>46223</v>
      </c>
      <c r="F311" t="inlineStr">
        <is>
          <t>NORRBOTTENS LÄN</t>
        </is>
      </c>
      <c r="G311" t="inlineStr">
        <is>
          <t>ÄLVSBYN</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21883-2026</t>
        </is>
      </c>
      <c r="B312" t="inlineStr">
        <is>
          <t>avverkningsanmälan</t>
        </is>
      </c>
      <c r="C312" t="inlineStr">
        <is>
          <t>Föryngringsavverkning</t>
        </is>
      </c>
      <c r="D312" s="1" t="n">
        <v>46150</v>
      </c>
      <c r="E312" s="1" t="n">
        <v>46223</v>
      </c>
      <c r="F312" t="inlineStr">
        <is>
          <t>NORRBOTTENS LÄN</t>
        </is>
      </c>
      <c r="G312" t="inlineStr">
        <is>
          <t>ÄLVSBYN</t>
        </is>
      </c>
      <c r="H312" t="inlineStr">
        <is>
          <t>Sveaskog</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27783-2026</t>
        </is>
      </c>
      <c r="B313" t="inlineStr">
        <is>
          <t>avverkningsanmälan</t>
        </is>
      </c>
      <c r="C313" t="inlineStr">
        <is>
          <t>Föryngringsavverkning</t>
        </is>
      </c>
      <c r="D313" s="1" t="n">
        <v>46191</v>
      </c>
      <c r="E313" s="1" t="n">
        <v>46223</v>
      </c>
      <c r="F313" t="inlineStr">
        <is>
          <t>NORRBOTTENS LÄN</t>
        </is>
      </c>
      <c r="G313" t="inlineStr">
        <is>
          <t>ÄLVSBYN</t>
        </is>
      </c>
      <c r="I313" t="n">
        <v>12.7</v>
      </c>
      <c r="J313" t="n">
        <v>0</v>
      </c>
      <c r="K313" t="n">
        <v>0</v>
      </c>
      <c r="L313" t="n">
        <v>0</v>
      </c>
      <c r="M313" t="n">
        <v>0</v>
      </c>
      <c r="N313" t="n">
        <v>0</v>
      </c>
      <c r="O313" t="n">
        <v>0</v>
      </c>
      <c r="P313" t="n">
        <v>0</v>
      </c>
      <c r="Q313" t="n">
        <v>0</v>
      </c>
      <c r="R313" t="n">
        <v>0</v>
      </c>
      <c r="S313" t="n">
        <v>0</v>
      </c>
      <c r="T313" t="n">
        <v>0</v>
      </c>
      <c r="U313" s="2" t="inlineStr"/>
    </row>
    <row r="314" ht="15" customHeight="1">
      <c r="A314" t="inlineStr">
        <is>
          <t>A 27788-2026</t>
        </is>
      </c>
      <c r="B314" t="inlineStr">
        <is>
          <t>avverkningsanmälan</t>
        </is>
      </c>
      <c r="C314" t="inlineStr">
        <is>
          <t>Föryngringsavverkning</t>
        </is>
      </c>
      <c r="D314" s="1" t="n">
        <v>46191</v>
      </c>
      <c r="E314" s="1" t="n">
        <v>46223</v>
      </c>
      <c r="F314" t="inlineStr">
        <is>
          <t>NORRBOTTENS LÄN</t>
        </is>
      </c>
      <c r="G314" t="inlineStr">
        <is>
          <t>ÄLVSBYN</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27796-2026</t>
        </is>
      </c>
      <c r="B315" t="inlineStr">
        <is>
          <t>avverkningsanmälan</t>
        </is>
      </c>
      <c r="C315" t="inlineStr">
        <is>
          <t>Föryngringsavverkning</t>
        </is>
      </c>
      <c r="D315" s="1" t="n">
        <v>46191</v>
      </c>
      <c r="E315" s="1" t="n">
        <v>46223</v>
      </c>
      <c r="F315" t="inlineStr">
        <is>
          <t>NORRBOTTENS LÄN</t>
        </is>
      </c>
      <c r="G315" t="inlineStr">
        <is>
          <t>ÄLVSBYN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8741-2025</t>
        </is>
      </c>
      <c r="B316" t="inlineStr">
        <is>
          <t>avverkningsanmälan</t>
        </is>
      </c>
      <c r="C316" t="inlineStr">
        <is>
          <t>Föryngringsavverkning</t>
        </is>
      </c>
      <c r="D316" s="1" t="n">
        <v>45712</v>
      </c>
      <c r="E316" s="1" t="n">
        <v>46223</v>
      </c>
      <c r="F316" t="inlineStr">
        <is>
          <t>NORRBOTTENS LÄN</t>
        </is>
      </c>
      <c r="G316" t="inlineStr">
        <is>
          <t>ÄLVSBYN</t>
        </is>
      </c>
      <c r="I316" t="n">
        <v>3.9</v>
      </c>
      <c r="J316" t="n">
        <v>0</v>
      </c>
      <c r="K316" t="n">
        <v>0</v>
      </c>
      <c r="L316" t="n">
        <v>0</v>
      </c>
      <c r="M316" t="n">
        <v>0</v>
      </c>
      <c r="N316" t="n">
        <v>0</v>
      </c>
      <c r="O316" t="n">
        <v>0</v>
      </c>
      <c r="P316" t="n">
        <v>0</v>
      </c>
      <c r="Q316" t="n">
        <v>0</v>
      </c>
      <c r="R316" t="n">
        <v>0</v>
      </c>
      <c r="S316" t="n">
        <v>0</v>
      </c>
      <c r="T316" t="n">
        <v>0</v>
      </c>
      <c r="U316" s="2" t="inlineStr"/>
    </row>
    <row r="317" ht="15" customHeight="1">
      <c r="A317" t="inlineStr">
        <is>
          <t>A 27784-2026</t>
        </is>
      </c>
      <c r="B317" t="inlineStr">
        <is>
          <t>avverkningsanmälan</t>
        </is>
      </c>
      <c r="C317" t="inlineStr">
        <is>
          <t>Föryngringsavverkning</t>
        </is>
      </c>
      <c r="D317" s="1" t="n">
        <v>46191</v>
      </c>
      <c r="E317" s="1" t="n">
        <v>46223</v>
      </c>
      <c r="F317" t="inlineStr">
        <is>
          <t>NORRBOTTENS LÄN</t>
        </is>
      </c>
      <c r="G317" t="inlineStr">
        <is>
          <t>ÄLVSBYN</t>
        </is>
      </c>
      <c r="I317" t="n">
        <v>6.8</v>
      </c>
      <c r="J317" t="n">
        <v>0</v>
      </c>
      <c r="K317" t="n">
        <v>0</v>
      </c>
      <c r="L317" t="n">
        <v>0</v>
      </c>
      <c r="M317" t="n">
        <v>0</v>
      </c>
      <c r="N317" t="n">
        <v>0</v>
      </c>
      <c r="O317" t="n">
        <v>0</v>
      </c>
      <c r="P317" t="n">
        <v>0</v>
      </c>
      <c r="Q317" t="n">
        <v>0</v>
      </c>
      <c r="R317" t="n">
        <v>0</v>
      </c>
      <c r="S317" t="n">
        <v>0</v>
      </c>
      <c r="T317" t="n">
        <v>0</v>
      </c>
      <c r="U317" s="2" t="inlineStr"/>
    </row>
    <row r="318" ht="15" customHeight="1">
      <c r="A318" t="inlineStr">
        <is>
          <t>A 21787-2026</t>
        </is>
      </c>
      <c r="B318" t="inlineStr">
        <is>
          <t>avverkningsanmälan</t>
        </is>
      </c>
      <c r="C318" t="inlineStr">
        <is>
          <t>Föryngringsavverkning</t>
        </is>
      </c>
      <c r="D318" s="1" t="n">
        <v>46150</v>
      </c>
      <c r="E318" s="1" t="n">
        <v>46223</v>
      </c>
      <c r="F318" t="inlineStr">
        <is>
          <t>NORRBOTTENS LÄN</t>
        </is>
      </c>
      <c r="G318" t="inlineStr">
        <is>
          <t>ÄLVSBYN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15255-2023</t>
        </is>
      </c>
      <c r="B319" t="inlineStr">
        <is>
          <t>avverkningsanmälan</t>
        </is>
      </c>
      <c r="C319" t="inlineStr">
        <is>
          <t>Föryngringsavverkning</t>
        </is>
      </c>
      <c r="D319" s="1" t="n">
        <v>45016</v>
      </c>
      <c r="E319" s="1" t="n">
        <v>46223</v>
      </c>
      <c r="F319" t="inlineStr">
        <is>
          <t>NORRBOTTENS LÄN</t>
        </is>
      </c>
      <c r="G319" t="inlineStr">
        <is>
          <t>ÄLVSBYN</t>
        </is>
      </c>
      <c r="I319" t="n">
        <v>3.3</v>
      </c>
      <c r="J319" t="n">
        <v>0</v>
      </c>
      <c r="K319" t="n">
        <v>0</v>
      </c>
      <c r="L319" t="n">
        <v>0</v>
      </c>
      <c r="M319" t="n">
        <v>0</v>
      </c>
      <c r="N319" t="n">
        <v>0</v>
      </c>
      <c r="O319" t="n">
        <v>0</v>
      </c>
      <c r="P319" t="n">
        <v>0</v>
      </c>
      <c r="Q319" t="n">
        <v>0</v>
      </c>
      <c r="R319" t="n">
        <v>0</v>
      </c>
      <c r="S319" t="n">
        <v>0</v>
      </c>
      <c r="T319" t="n">
        <v>0</v>
      </c>
      <c r="U319" s="2" t="inlineStr"/>
    </row>
    <row r="320" ht="15" customHeight="1">
      <c r="A320" t="inlineStr">
        <is>
          <t>A 30606-2024</t>
        </is>
      </c>
      <c r="B320" t="inlineStr">
        <is>
          <t>avverkningsanmälan</t>
        </is>
      </c>
      <c r="C320" t="inlineStr">
        <is>
          <t>Föryngringsavverkning</t>
        </is>
      </c>
      <c r="D320" s="1" t="n">
        <v>45494</v>
      </c>
      <c r="E320" s="1" t="n">
        <v>46223</v>
      </c>
      <c r="F320" t="inlineStr">
        <is>
          <t>NORRBOTTENS LÄN</t>
        </is>
      </c>
      <c r="G320" t="inlineStr">
        <is>
          <t>ÄLVSBYN</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22010-2026</t>
        </is>
      </c>
      <c r="B321" t="inlineStr">
        <is>
          <t>avverkningsanmälan</t>
        </is>
      </c>
      <c r="C321" t="inlineStr">
        <is>
          <t>Föryngringsavverkning</t>
        </is>
      </c>
      <c r="D321" s="1" t="n">
        <v>46153</v>
      </c>
      <c r="E321" s="1" t="n">
        <v>46223</v>
      </c>
      <c r="F321" t="inlineStr">
        <is>
          <t>NORRBOTTENS LÄN</t>
        </is>
      </c>
      <c r="G321" t="inlineStr">
        <is>
          <t>ÄLVSBYN</t>
        </is>
      </c>
      <c r="H321" t="inlineStr">
        <is>
          <t>SCA</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28390-2026</t>
        </is>
      </c>
      <c r="B322" t="inlineStr">
        <is>
          <t>avverkningsanmälan</t>
        </is>
      </c>
      <c r="C322" t="inlineStr">
        <is>
          <t>Föryngringsavverkning</t>
        </is>
      </c>
      <c r="D322" s="1" t="n">
        <v>46196</v>
      </c>
      <c r="E322" s="1" t="n">
        <v>46223</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s="2" t="inlineStr"/>
    </row>
    <row r="323" ht="15" customHeight="1">
      <c r="A323" t="inlineStr">
        <is>
          <t>A 34863-2022</t>
        </is>
      </c>
      <c r="B323" t="inlineStr">
        <is>
          <t>avverkningsanmälan</t>
        </is>
      </c>
      <c r="C323" t="inlineStr">
        <is>
          <t>Föryngringsavverkning</t>
        </is>
      </c>
      <c r="D323" s="1" t="n">
        <v>44795</v>
      </c>
      <c r="E323" s="1" t="n">
        <v>46223</v>
      </c>
      <c r="F323" t="inlineStr">
        <is>
          <t>NORRBOTTENS LÄN</t>
        </is>
      </c>
      <c r="G323" t="inlineStr">
        <is>
          <t>ÄLVSBYN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22253-2026</t>
        </is>
      </c>
      <c r="B324" t="inlineStr">
        <is>
          <t>avverkningsanmälan</t>
        </is>
      </c>
      <c r="C324" t="inlineStr">
        <is>
          <t>Föryngringsavverkning</t>
        </is>
      </c>
      <c r="D324" s="1" t="n">
        <v>46154</v>
      </c>
      <c r="E324" s="1" t="n">
        <v>46223</v>
      </c>
      <c r="F324" t="inlineStr">
        <is>
          <t>NORRBOTTENS LÄN</t>
        </is>
      </c>
      <c r="G324" t="inlineStr">
        <is>
          <t>ÄLVSBYN</t>
        </is>
      </c>
      <c r="H324" t="inlineStr">
        <is>
          <t>Sveaskog</t>
        </is>
      </c>
      <c r="I324" t="n">
        <v>5.9</v>
      </c>
      <c r="J324" t="n">
        <v>0</v>
      </c>
      <c r="K324" t="n">
        <v>0</v>
      </c>
      <c r="L324" t="n">
        <v>0</v>
      </c>
      <c r="M324" t="n">
        <v>0</v>
      </c>
      <c r="N324" t="n">
        <v>0</v>
      </c>
      <c r="O324" t="n">
        <v>0</v>
      </c>
      <c r="P324" t="n">
        <v>0</v>
      </c>
      <c r="Q324" t="n">
        <v>0</v>
      </c>
      <c r="R324" t="n">
        <v>0</v>
      </c>
      <c r="S324" t="n">
        <v>0</v>
      </c>
      <c r="T324" t="n">
        <v>0</v>
      </c>
      <c r="U324" s="2" t="inlineStr"/>
    </row>
    <row r="325" ht="15" customHeight="1">
      <c r="A325" t="inlineStr">
        <is>
          <t>A 28389-2026</t>
        </is>
      </c>
      <c r="B325" t="inlineStr">
        <is>
          <t>avverkningsanmälan</t>
        </is>
      </c>
      <c r="C325" t="inlineStr">
        <is>
          <t>Föryngringsavverkning</t>
        </is>
      </c>
      <c r="D325" s="1" t="n">
        <v>46196</v>
      </c>
      <c r="E325" s="1" t="n">
        <v>46223</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21994-2026</t>
        </is>
      </c>
      <c r="B326" t="inlineStr">
        <is>
          <t>avverkningsanmälan</t>
        </is>
      </c>
      <c r="C326" t="inlineStr">
        <is>
          <t>Föryngringsavverkning</t>
        </is>
      </c>
      <c r="D326" s="1" t="n">
        <v>46153</v>
      </c>
      <c r="E326" s="1" t="n">
        <v>46223</v>
      </c>
      <c r="F326" t="inlineStr">
        <is>
          <t>NORRBOTTENS LÄN</t>
        </is>
      </c>
      <c r="G326" t="inlineStr">
        <is>
          <t>ÄLVSBYN</t>
        </is>
      </c>
      <c r="H326" t="inlineStr">
        <is>
          <t>SCA</t>
        </is>
      </c>
      <c r="I326" t="n">
        <v>3.3</v>
      </c>
      <c r="J326" t="n">
        <v>0</v>
      </c>
      <c r="K326" t="n">
        <v>0</v>
      </c>
      <c r="L326" t="n">
        <v>0</v>
      </c>
      <c r="M326" t="n">
        <v>0</v>
      </c>
      <c r="N326" t="n">
        <v>0</v>
      </c>
      <c r="O326" t="n">
        <v>0</v>
      </c>
      <c r="P326" t="n">
        <v>0</v>
      </c>
      <c r="Q326" t="n">
        <v>0</v>
      </c>
      <c r="R326" t="n">
        <v>0</v>
      </c>
      <c r="S326" t="n">
        <v>0</v>
      </c>
      <c r="T326" t="n">
        <v>0</v>
      </c>
      <c r="U326" s="2" t="inlineStr"/>
    </row>
    <row r="327" ht="15" customHeight="1">
      <c r="A327" t="inlineStr">
        <is>
          <t>A 28670-2026</t>
        </is>
      </c>
      <c r="B327" t="inlineStr">
        <is>
          <t>avverkningsanmälan</t>
        </is>
      </c>
      <c r="C327" t="inlineStr">
        <is>
          <t>Föryngringsavverkning</t>
        </is>
      </c>
      <c r="D327" s="1" t="n">
        <v>46198</v>
      </c>
      <c r="E327" s="1" t="n">
        <v>46223</v>
      </c>
      <c r="F327" t="inlineStr">
        <is>
          <t>NORRBOTTENS LÄN</t>
        </is>
      </c>
      <c r="G327" t="inlineStr">
        <is>
          <t>ÄLVSBYN</t>
        </is>
      </c>
      <c r="I327" t="n">
        <v>5</v>
      </c>
      <c r="J327" t="n">
        <v>0</v>
      </c>
      <c r="K327" t="n">
        <v>0</v>
      </c>
      <c r="L327" t="n">
        <v>0</v>
      </c>
      <c r="M327" t="n">
        <v>0</v>
      </c>
      <c r="N327" t="n">
        <v>0</v>
      </c>
      <c r="O327" t="n">
        <v>0</v>
      </c>
      <c r="P327" t="n">
        <v>0</v>
      </c>
      <c r="Q327" t="n">
        <v>0</v>
      </c>
      <c r="R327" t="n">
        <v>0</v>
      </c>
      <c r="S327" t="n">
        <v>0</v>
      </c>
      <c r="T327" t="n">
        <v>0</v>
      </c>
      <c r="U327" s="2" t="inlineStr"/>
    </row>
    <row r="328" ht="15" customHeight="1">
      <c r="A328" t="inlineStr">
        <is>
          <t>A 28682-2026</t>
        </is>
      </c>
      <c r="B328" t="inlineStr">
        <is>
          <t>avverkningsanmälan</t>
        </is>
      </c>
      <c r="C328" t="inlineStr">
        <is>
          <t>Föryngringsavverkning</t>
        </is>
      </c>
      <c r="D328" s="1" t="n">
        <v>46198</v>
      </c>
      <c r="E328" s="1" t="n">
        <v>46223</v>
      </c>
      <c r="F328" t="inlineStr">
        <is>
          <t>NORRBOTTENS LÄN</t>
        </is>
      </c>
      <c r="G328" t="inlineStr">
        <is>
          <t>ÄLVSBYN</t>
        </is>
      </c>
      <c r="I328" t="n">
        <v>4.1</v>
      </c>
      <c r="J328" t="n">
        <v>0</v>
      </c>
      <c r="K328" t="n">
        <v>0</v>
      </c>
      <c r="L328" t="n">
        <v>0</v>
      </c>
      <c r="M328" t="n">
        <v>0</v>
      </c>
      <c r="N328" t="n">
        <v>0</v>
      </c>
      <c r="O328" t="n">
        <v>0</v>
      </c>
      <c r="P328" t="n">
        <v>0</v>
      </c>
      <c r="Q328" t="n">
        <v>0</v>
      </c>
      <c r="R328" t="n">
        <v>0</v>
      </c>
      <c r="S328" t="n">
        <v>0</v>
      </c>
      <c r="T328" t="n">
        <v>0</v>
      </c>
      <c r="U328" s="2" t="inlineStr"/>
    </row>
    <row r="329" ht="15" customHeight="1">
      <c r="A329" t="inlineStr">
        <is>
          <t>A 4928-2025</t>
        </is>
      </c>
      <c r="B329" t="inlineStr">
        <is>
          <t>avverkningsanmälan</t>
        </is>
      </c>
      <c r="C329" t="inlineStr">
        <is>
          <t>Föryngringsavverkning</t>
        </is>
      </c>
      <c r="D329" s="1" t="n">
        <v>45688</v>
      </c>
      <c r="E329" s="1" t="n">
        <v>46223</v>
      </c>
      <c r="F329" t="inlineStr">
        <is>
          <t>NORRBOTTENS LÄN</t>
        </is>
      </c>
      <c r="G329" t="inlineStr">
        <is>
          <t>ÄLVSBYN</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28591-2026</t>
        </is>
      </c>
      <c r="B330" t="inlineStr">
        <is>
          <t>avverkningsanmälan</t>
        </is>
      </c>
      <c r="C330" t="inlineStr">
        <is>
          <t>Föryngringsavverkning</t>
        </is>
      </c>
      <c r="D330" s="1" t="n">
        <v>46197</v>
      </c>
      <c r="E330" s="1" t="n">
        <v>46223</v>
      </c>
      <c r="F330" t="inlineStr">
        <is>
          <t>NORRBOTTENS LÄN</t>
        </is>
      </c>
      <c r="G330" t="inlineStr">
        <is>
          <t>ÄLVSBYN</t>
        </is>
      </c>
      <c r="I330" t="n">
        <v>5.7</v>
      </c>
      <c r="J330" t="n">
        <v>0</v>
      </c>
      <c r="K330" t="n">
        <v>0</v>
      </c>
      <c r="L330" t="n">
        <v>0</v>
      </c>
      <c r="M330" t="n">
        <v>0</v>
      </c>
      <c r="N330" t="n">
        <v>0</v>
      </c>
      <c r="O330" t="n">
        <v>0</v>
      </c>
      <c r="P330" t="n">
        <v>0</v>
      </c>
      <c r="Q330" t="n">
        <v>0</v>
      </c>
      <c r="R330" t="n">
        <v>0</v>
      </c>
      <c r="S330" t="n">
        <v>0</v>
      </c>
      <c r="T330" t="n">
        <v>0</v>
      </c>
      <c r="U330" s="2" t="inlineStr"/>
    </row>
    <row r="331" ht="15" customHeight="1">
      <c r="A331" t="inlineStr">
        <is>
          <t>A 16204-2024</t>
        </is>
      </c>
      <c r="B331" t="inlineStr">
        <is>
          <t>avverkningsanmälan</t>
        </is>
      </c>
      <c r="C331" t="inlineStr">
        <is>
          <t>Föryngringsavverkning</t>
        </is>
      </c>
      <c r="D331" s="1" t="n">
        <v>45406</v>
      </c>
      <c r="E331" s="1" t="n">
        <v>46223</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1238-2024</t>
        </is>
      </c>
      <c r="B332" t="inlineStr">
        <is>
          <t>avverkningsanmälan</t>
        </is>
      </c>
      <c r="C332" t="inlineStr">
        <is>
          <t>Föryngringsavverkning</t>
        </is>
      </c>
      <c r="D332" s="1" t="n">
        <v>45302</v>
      </c>
      <c r="E332" s="1" t="n">
        <v>46223</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28585-2026</t>
        </is>
      </c>
      <c r="B333" t="inlineStr">
        <is>
          <t>avverkningsanmälan</t>
        </is>
      </c>
      <c r="C333" t="inlineStr">
        <is>
          <t>Föryngringsavverkning</t>
        </is>
      </c>
      <c r="D333" s="1" t="n">
        <v>46197</v>
      </c>
      <c r="E333" s="1" t="n">
        <v>46223</v>
      </c>
      <c r="F333" t="inlineStr">
        <is>
          <t>NORRBOTTENS LÄN</t>
        </is>
      </c>
      <c r="G333" t="inlineStr">
        <is>
          <t>ÄLVSBYN</t>
        </is>
      </c>
      <c r="H333" t="inlineStr">
        <is>
          <t>SCA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28764-2026</t>
        </is>
      </c>
      <c r="B334" t="inlineStr">
        <is>
          <t>avverkningsanmälan</t>
        </is>
      </c>
      <c r="C334" t="inlineStr">
        <is>
          <t>Föryngringsavverkning</t>
        </is>
      </c>
      <c r="D334" s="1" t="n">
        <v>46198</v>
      </c>
      <c r="E334" s="1" t="n">
        <v>46223</v>
      </c>
      <c r="F334" t="inlineStr">
        <is>
          <t>NORRBOTTENS LÄN</t>
        </is>
      </c>
      <c r="G334" t="inlineStr">
        <is>
          <t>ÄLVSBYN</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28506-2026</t>
        </is>
      </c>
      <c r="B335" t="inlineStr">
        <is>
          <t>avverkningsanmälan</t>
        </is>
      </c>
      <c r="C335" t="inlineStr">
        <is>
          <t>Föryngringsavverkning</t>
        </is>
      </c>
      <c r="D335" s="1" t="n">
        <v>46197</v>
      </c>
      <c r="E335" s="1" t="n">
        <v>46223</v>
      </c>
      <c r="F335" t="inlineStr">
        <is>
          <t>NORRBOTTENS LÄN</t>
        </is>
      </c>
      <c r="G335" t="inlineStr">
        <is>
          <t>ÄLVSBYN</t>
        </is>
      </c>
      <c r="I335" t="n">
        <v>12.9</v>
      </c>
      <c r="J335" t="n">
        <v>0</v>
      </c>
      <c r="K335" t="n">
        <v>0</v>
      </c>
      <c r="L335" t="n">
        <v>0</v>
      </c>
      <c r="M335" t="n">
        <v>0</v>
      </c>
      <c r="N335" t="n">
        <v>0</v>
      </c>
      <c r="O335" t="n">
        <v>0</v>
      </c>
      <c r="P335" t="n">
        <v>0</v>
      </c>
      <c r="Q335" t="n">
        <v>0</v>
      </c>
      <c r="R335" t="n">
        <v>0</v>
      </c>
      <c r="S335" t="n">
        <v>0</v>
      </c>
      <c r="T335" t="n">
        <v>0</v>
      </c>
      <c r="U335" s="2" t="inlineStr"/>
    </row>
    <row r="336" ht="15" customHeight="1">
      <c r="A336" t="inlineStr">
        <is>
          <t>A 11835-2023</t>
        </is>
      </c>
      <c r="B336" t="inlineStr">
        <is>
          <t>avverkningsanmälan</t>
        </is>
      </c>
      <c r="C336" t="inlineStr">
        <is>
          <t>Föryngringsavverkning</t>
        </is>
      </c>
      <c r="D336" s="1" t="n">
        <v>44994</v>
      </c>
      <c r="E336" s="1" t="n">
        <v>46223</v>
      </c>
      <c r="F336" t="inlineStr">
        <is>
          <t>NORRBOTTENS LÄN</t>
        </is>
      </c>
      <c r="G336" t="inlineStr">
        <is>
          <t>ÄLVSBYN</t>
        </is>
      </c>
      <c r="I336" t="n">
        <v>3.6</v>
      </c>
      <c r="J336" t="n">
        <v>0</v>
      </c>
      <c r="K336" t="n">
        <v>0</v>
      </c>
      <c r="L336" t="n">
        <v>0</v>
      </c>
      <c r="M336" t="n">
        <v>0</v>
      </c>
      <c r="N336" t="n">
        <v>0</v>
      </c>
      <c r="O336" t="n">
        <v>0</v>
      </c>
      <c r="P336" t="n">
        <v>0</v>
      </c>
      <c r="Q336" t="n">
        <v>0</v>
      </c>
      <c r="R336" t="n">
        <v>0</v>
      </c>
      <c r="S336" t="n">
        <v>0</v>
      </c>
      <c r="T336" t="n">
        <v>0</v>
      </c>
      <c r="U336" s="2" t="inlineStr"/>
    </row>
    <row r="337" ht="15" customHeight="1">
      <c r="A337" t="inlineStr">
        <is>
          <t>A 38999-2024</t>
        </is>
      </c>
      <c r="B337" t="inlineStr">
        <is>
          <t>avverkningsanmälan</t>
        </is>
      </c>
      <c r="C337" t="inlineStr">
        <is>
          <t>Föryngringsavverkning</t>
        </is>
      </c>
      <c r="D337" s="1" t="n">
        <v>45548</v>
      </c>
      <c r="E337" s="1" t="n">
        <v>46223</v>
      </c>
      <c r="F337" t="inlineStr">
        <is>
          <t>NORRBOTTENS LÄN</t>
        </is>
      </c>
      <c r="G337" t="inlineStr">
        <is>
          <t>ÄLVSBYN</t>
        </is>
      </c>
      <c r="H337" t="inlineStr">
        <is>
          <t>Sveaskog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28498-2026</t>
        </is>
      </c>
      <c r="B338" t="inlineStr">
        <is>
          <t>avverkningsanmälan</t>
        </is>
      </c>
      <c r="C338" t="inlineStr">
        <is>
          <t>Föryngringsavverkning</t>
        </is>
      </c>
      <c r="D338" s="1" t="n">
        <v>46197</v>
      </c>
      <c r="E338" s="1" t="n">
        <v>46223</v>
      </c>
      <c r="F338" t="inlineStr">
        <is>
          <t>NORRBOTTENS LÄN</t>
        </is>
      </c>
      <c r="G338" t="inlineStr">
        <is>
          <t>ÄLVSBYN</t>
        </is>
      </c>
      <c r="I338" t="n">
        <v>11.1</v>
      </c>
      <c r="J338" t="n">
        <v>0</v>
      </c>
      <c r="K338" t="n">
        <v>0</v>
      </c>
      <c r="L338" t="n">
        <v>0</v>
      </c>
      <c r="M338" t="n">
        <v>0</v>
      </c>
      <c r="N338" t="n">
        <v>0</v>
      </c>
      <c r="O338" t="n">
        <v>0</v>
      </c>
      <c r="P338" t="n">
        <v>0</v>
      </c>
      <c r="Q338" t="n">
        <v>0</v>
      </c>
      <c r="R338" t="n">
        <v>0</v>
      </c>
      <c r="S338" t="n">
        <v>0</v>
      </c>
      <c r="T338" t="n">
        <v>0</v>
      </c>
      <c r="U338" s="2" t="inlineStr"/>
    </row>
    <row r="339" ht="15" customHeight="1">
      <c r="A339" t="inlineStr">
        <is>
          <t>A 28571-2026</t>
        </is>
      </c>
      <c r="B339" t="inlineStr">
        <is>
          <t>avverkningsanmälan</t>
        </is>
      </c>
      <c r="C339" t="inlineStr">
        <is>
          <t>Föryngringsavverkning</t>
        </is>
      </c>
      <c r="D339" s="1" t="n">
        <v>46197</v>
      </c>
      <c r="E339" s="1" t="n">
        <v>46223</v>
      </c>
      <c r="F339" t="inlineStr">
        <is>
          <t>NORRBOTTENS LÄN</t>
        </is>
      </c>
      <c r="G339" t="inlineStr">
        <is>
          <t>ÄLVSBYN</t>
        </is>
      </c>
      <c r="H339" t="inlineStr">
        <is>
          <t>SCA</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26727-2024</t>
        </is>
      </c>
      <c r="B340" t="inlineStr">
        <is>
          <t>avverkningsanmälan</t>
        </is>
      </c>
      <c r="C340" t="inlineStr">
        <is>
          <t>Föryngringsavverkning</t>
        </is>
      </c>
      <c r="D340" s="1" t="n">
        <v>45470</v>
      </c>
      <c r="E340" s="1" t="n">
        <v>46223</v>
      </c>
      <c r="F340" t="inlineStr">
        <is>
          <t>NORRBOTTENS LÄN</t>
        </is>
      </c>
      <c r="G340" t="inlineStr">
        <is>
          <t>ÄLVSBYN</t>
        </is>
      </c>
      <c r="H340" t="inlineStr">
        <is>
          <t>Sveaskog</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22926-2026</t>
        </is>
      </c>
      <c r="B341" t="inlineStr">
        <is>
          <t>avverkningsanmälan</t>
        </is>
      </c>
      <c r="C341" t="inlineStr">
        <is>
          <t>Föryngringsavverkning</t>
        </is>
      </c>
      <c r="D341" s="1" t="n">
        <v>46160</v>
      </c>
      <c r="E341" s="1" t="n">
        <v>46223</v>
      </c>
      <c r="F341" t="inlineStr">
        <is>
          <t>NORRBOTTENS LÄN</t>
        </is>
      </c>
      <c r="G341" t="inlineStr">
        <is>
          <t>ÄLVSBYN</t>
        </is>
      </c>
      <c r="I341" t="n">
        <v>6.2</v>
      </c>
      <c r="J341" t="n">
        <v>0</v>
      </c>
      <c r="K341" t="n">
        <v>0</v>
      </c>
      <c r="L341" t="n">
        <v>0</v>
      </c>
      <c r="M341" t="n">
        <v>0</v>
      </c>
      <c r="N341" t="n">
        <v>0</v>
      </c>
      <c r="O341" t="n">
        <v>0</v>
      </c>
      <c r="P341" t="n">
        <v>0</v>
      </c>
      <c r="Q341" t="n">
        <v>0</v>
      </c>
      <c r="R341" t="n">
        <v>0</v>
      </c>
      <c r="S341" t="n">
        <v>0</v>
      </c>
      <c r="T341" t="n">
        <v>0</v>
      </c>
      <c r="U341" s="2" t="inlineStr"/>
    </row>
    <row r="342" ht="15" customHeight="1">
      <c r="A342" t="inlineStr">
        <is>
          <t>A 29184-2026</t>
        </is>
      </c>
      <c r="B342" t="inlineStr">
        <is>
          <t>avverkningsanmälan</t>
        </is>
      </c>
      <c r="C342" t="inlineStr">
        <is>
          <t>Föryngringsavverkning</t>
        </is>
      </c>
      <c r="D342" s="1" t="n">
        <v>46202</v>
      </c>
      <c r="E342" s="1" t="n">
        <v>46223</v>
      </c>
      <c r="F342" t="inlineStr">
        <is>
          <t>NORRBOTTENS LÄN</t>
        </is>
      </c>
      <c r="G342" t="inlineStr">
        <is>
          <t>ÄLVSBYN</t>
        </is>
      </c>
      <c r="I342" t="n">
        <v>6.6</v>
      </c>
      <c r="J342" t="n">
        <v>0</v>
      </c>
      <c r="K342" t="n">
        <v>0</v>
      </c>
      <c r="L342" t="n">
        <v>0</v>
      </c>
      <c r="M342" t="n">
        <v>0</v>
      </c>
      <c r="N342" t="n">
        <v>0</v>
      </c>
      <c r="O342" t="n">
        <v>0</v>
      </c>
      <c r="P342" t="n">
        <v>0</v>
      </c>
      <c r="Q342" t="n">
        <v>0</v>
      </c>
      <c r="R342" t="n">
        <v>0</v>
      </c>
      <c r="S342" t="n">
        <v>0</v>
      </c>
      <c r="T342" t="n">
        <v>0</v>
      </c>
      <c r="U342" s="2" t="inlineStr"/>
    </row>
    <row r="343" ht="15" customHeight="1">
      <c r="A343" t="inlineStr">
        <is>
          <t>A 29185-2026</t>
        </is>
      </c>
      <c r="B343" t="inlineStr">
        <is>
          <t>avverkningsanmälan</t>
        </is>
      </c>
      <c r="C343" t="inlineStr">
        <is>
          <t>Föryngringsavverkning</t>
        </is>
      </c>
      <c r="D343" s="1" t="n">
        <v>46202</v>
      </c>
      <c r="E343" s="1" t="n">
        <v>46223</v>
      </c>
      <c r="F343" t="inlineStr">
        <is>
          <t>NORRBOTTENS LÄN</t>
        </is>
      </c>
      <c r="G343" t="inlineStr">
        <is>
          <t>ÄLVSBYN</t>
        </is>
      </c>
      <c r="I343" t="n">
        <v>14.9</v>
      </c>
      <c r="J343" t="n">
        <v>0</v>
      </c>
      <c r="K343" t="n">
        <v>0</v>
      </c>
      <c r="L343" t="n">
        <v>0</v>
      </c>
      <c r="M343" t="n">
        <v>0</v>
      </c>
      <c r="N343" t="n">
        <v>0</v>
      </c>
      <c r="O343" t="n">
        <v>0</v>
      </c>
      <c r="P343" t="n">
        <v>0</v>
      </c>
      <c r="Q343" t="n">
        <v>0</v>
      </c>
      <c r="R343" t="n">
        <v>0</v>
      </c>
      <c r="S343" t="n">
        <v>0</v>
      </c>
      <c r="T343" t="n">
        <v>0</v>
      </c>
      <c r="U343" s="2" t="inlineStr"/>
    </row>
    <row r="344" ht="15" customHeight="1">
      <c r="A344" t="inlineStr">
        <is>
          <t>A 22937-2026</t>
        </is>
      </c>
      <c r="B344" t="inlineStr">
        <is>
          <t>avverkningsanmälan</t>
        </is>
      </c>
      <c r="C344" t="inlineStr">
        <is>
          <t>Föryngringsavverkning</t>
        </is>
      </c>
      <c r="D344" s="1" t="n">
        <v>46160</v>
      </c>
      <c r="E344" s="1" t="n">
        <v>46223</v>
      </c>
      <c r="F344" t="inlineStr">
        <is>
          <t>NORRBOTTENS LÄN</t>
        </is>
      </c>
      <c r="G344" t="inlineStr">
        <is>
          <t>ÄLVSBYN</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26514-2026</t>
        </is>
      </c>
      <c r="B345" t="inlineStr">
        <is>
          <t>avverkningsanmälan</t>
        </is>
      </c>
      <c r="C345" t="inlineStr">
        <is>
          <t>Föryngringsavverkning</t>
        </is>
      </c>
      <c r="D345" s="1" t="n">
        <v>46183</v>
      </c>
      <c r="E345" s="1" t="n">
        <v>46223</v>
      </c>
      <c r="F345" t="inlineStr">
        <is>
          <t>NORRBOTTENS LÄN</t>
        </is>
      </c>
      <c r="G345" t="inlineStr">
        <is>
          <t>ÄLVSBYN</t>
        </is>
      </c>
      <c r="H345" t="inlineStr">
        <is>
          <t>Sveaskog</t>
        </is>
      </c>
      <c r="I345" t="n">
        <v>46.6</v>
      </c>
      <c r="J345" t="n">
        <v>0</v>
      </c>
      <c r="K345" t="n">
        <v>0</v>
      </c>
      <c r="L345" t="n">
        <v>0</v>
      </c>
      <c r="M345" t="n">
        <v>0</v>
      </c>
      <c r="N345" t="n">
        <v>0</v>
      </c>
      <c r="O345" t="n">
        <v>0</v>
      </c>
      <c r="P345" t="n">
        <v>0</v>
      </c>
      <c r="Q345" t="n">
        <v>0</v>
      </c>
      <c r="R345" t="n">
        <v>0</v>
      </c>
      <c r="S345" t="n">
        <v>0</v>
      </c>
      <c r="T345" t="n">
        <v>0</v>
      </c>
      <c r="U345" s="2" t="inlineStr"/>
    </row>
    <row r="346" ht="15" customHeight="1">
      <c r="A346" t="inlineStr">
        <is>
          <t>A 24922-2023</t>
        </is>
      </c>
      <c r="B346" t="inlineStr">
        <is>
          <t>avverkningsanmälan</t>
        </is>
      </c>
      <c r="C346" t="inlineStr">
        <is>
          <t>Föryngringsavverkning</t>
        </is>
      </c>
      <c r="D346" s="1" t="n">
        <v>45078</v>
      </c>
      <c r="E346" s="1" t="n">
        <v>46223</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22810-2024</t>
        </is>
      </c>
      <c r="B347" t="inlineStr">
        <is>
          <t>avverkningsanmälan</t>
        </is>
      </c>
      <c r="C347" t="inlineStr">
        <is>
          <t>Föryngringsavverkning</t>
        </is>
      </c>
      <c r="D347" s="1" t="n">
        <v>45448</v>
      </c>
      <c r="E347" s="1" t="n">
        <v>46223</v>
      </c>
      <c r="F347" t="inlineStr">
        <is>
          <t>NORRBOTTENS LÄN</t>
        </is>
      </c>
      <c r="G347" t="inlineStr">
        <is>
          <t>ÄLVSBYN</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22923-2026</t>
        </is>
      </c>
      <c r="B348" t="inlineStr">
        <is>
          <t>avverkningsanmälan</t>
        </is>
      </c>
      <c r="C348" t="inlineStr">
        <is>
          <t>Föryngringsavverkning</t>
        </is>
      </c>
      <c r="D348" s="1" t="n">
        <v>46160</v>
      </c>
      <c r="E348" s="1" t="n">
        <v>46223</v>
      </c>
      <c r="F348" t="inlineStr">
        <is>
          <t>NORRBOTTENS LÄN</t>
        </is>
      </c>
      <c r="G348" t="inlineStr">
        <is>
          <t>ÄLVSBYN</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2293-2023</t>
        </is>
      </c>
      <c r="B349" t="inlineStr">
        <is>
          <t>avverkningsanmälan</t>
        </is>
      </c>
      <c r="C349" t="inlineStr">
        <is>
          <t>Föryngringsavverkning</t>
        </is>
      </c>
      <c r="D349" s="1" t="n">
        <v>44942</v>
      </c>
      <c r="E349" s="1" t="n">
        <v>46223</v>
      </c>
      <c r="F349" t="inlineStr">
        <is>
          <t>NORRBOTTENS LÄN</t>
        </is>
      </c>
      <c r="G349" t="inlineStr">
        <is>
          <t>ÄLVSBYN</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22924-2026</t>
        </is>
      </c>
      <c r="B350" t="inlineStr">
        <is>
          <t>avverkningsanmälan</t>
        </is>
      </c>
      <c r="C350" t="inlineStr">
        <is>
          <t>Föryngringsavverkning</t>
        </is>
      </c>
      <c r="D350" s="1" t="n">
        <v>46160</v>
      </c>
      <c r="E350" s="1" t="n">
        <v>46223</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s="2" t="inlineStr"/>
    </row>
    <row r="351" ht="15" customHeight="1">
      <c r="A351" t="inlineStr">
        <is>
          <t>A 28984-2026</t>
        </is>
      </c>
      <c r="B351" t="inlineStr">
        <is>
          <t>avverkningsanmälan</t>
        </is>
      </c>
      <c r="C351" t="inlineStr">
        <is>
          <t>Föryngringsavverkning</t>
        </is>
      </c>
      <c r="D351" s="1" t="n">
        <v>46199</v>
      </c>
      <c r="E351" s="1" t="n">
        <v>46223</v>
      </c>
      <c r="F351" t="inlineStr">
        <is>
          <t>NORRBOTTENS LÄN</t>
        </is>
      </c>
      <c r="G351" t="inlineStr">
        <is>
          <t>ÄLVSBYN</t>
        </is>
      </c>
      <c r="H351" t="inlineStr">
        <is>
          <t>SCA</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22931-2026</t>
        </is>
      </c>
      <c r="B352" t="inlineStr">
        <is>
          <t>avverkningsanmälan</t>
        </is>
      </c>
      <c r="C352" t="inlineStr">
        <is>
          <t>Föryngringsavverkning</t>
        </is>
      </c>
      <c r="D352" s="1" t="n">
        <v>46160</v>
      </c>
      <c r="E352" s="1" t="n">
        <v>46223</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s="2" t="inlineStr"/>
    </row>
    <row r="353" ht="15" customHeight="1">
      <c r="A353" t="inlineStr">
        <is>
          <t>A 29334-2026</t>
        </is>
      </c>
      <c r="B353" t="inlineStr">
        <is>
          <t>avverkningsanmälan</t>
        </is>
      </c>
      <c r="C353" t="inlineStr">
        <is>
          <t>Föryngringsavverkning</t>
        </is>
      </c>
      <c r="D353" s="1" t="n">
        <v>46202</v>
      </c>
      <c r="E353" s="1" t="n">
        <v>46223</v>
      </c>
      <c r="F353" t="inlineStr">
        <is>
          <t>NORRBOTTENS LÄN</t>
        </is>
      </c>
      <c r="G353" t="inlineStr">
        <is>
          <t>ÄLVSBYN</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58476-2023</t>
        </is>
      </c>
      <c r="B354" t="inlineStr">
        <is>
          <t>avverkningsanmälan</t>
        </is>
      </c>
      <c r="C354" t="inlineStr">
        <is>
          <t>Föryngringsavverkning</t>
        </is>
      </c>
      <c r="D354" s="1" t="n">
        <v>45246</v>
      </c>
      <c r="E354" s="1" t="n">
        <v>46223</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29505-2026</t>
        </is>
      </c>
      <c r="B355" t="inlineStr">
        <is>
          <t>avverkningsanmälan</t>
        </is>
      </c>
      <c r="C355" t="inlineStr">
        <is>
          <t>Föryngringsavverkning</t>
        </is>
      </c>
      <c r="D355" s="1" t="n">
        <v>46203</v>
      </c>
      <c r="E355" s="1" t="n">
        <v>46223</v>
      </c>
      <c r="F355" t="inlineStr">
        <is>
          <t>NORRBOTTENS LÄN</t>
        </is>
      </c>
      <c r="G355" t="inlineStr">
        <is>
          <t>ÄLVSBYN</t>
        </is>
      </c>
      <c r="H355" t="inlineStr">
        <is>
          <t>SCA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29614-2026</t>
        </is>
      </c>
      <c r="B356" t="inlineStr">
        <is>
          <t>avverkningsanmälan</t>
        </is>
      </c>
      <c r="C356" t="inlineStr">
        <is>
          <t>Föryngringsavverkning</t>
        </is>
      </c>
      <c r="D356" s="1" t="n">
        <v>46204</v>
      </c>
      <c r="E356" s="1" t="n">
        <v>46223</v>
      </c>
      <c r="F356" t="inlineStr">
        <is>
          <t>NORRBOTTENS LÄN</t>
        </is>
      </c>
      <c r="G356" t="inlineStr">
        <is>
          <t>ÄLVSBYN</t>
        </is>
      </c>
      <c r="I356" t="n">
        <v>10.6</v>
      </c>
      <c r="J356" t="n">
        <v>0</v>
      </c>
      <c r="K356" t="n">
        <v>0</v>
      </c>
      <c r="L356" t="n">
        <v>0</v>
      </c>
      <c r="M356" t="n">
        <v>0</v>
      </c>
      <c r="N356" t="n">
        <v>0</v>
      </c>
      <c r="O356" t="n">
        <v>0</v>
      </c>
      <c r="P356" t="n">
        <v>0</v>
      </c>
      <c r="Q356" t="n">
        <v>0</v>
      </c>
      <c r="R356" t="n">
        <v>0</v>
      </c>
      <c r="S356" t="n">
        <v>0</v>
      </c>
      <c r="T356" t="n">
        <v>0</v>
      </c>
      <c r="U356" s="2" t="inlineStr"/>
    </row>
    <row r="357" ht="15" customHeight="1">
      <c r="A357" t="inlineStr">
        <is>
          <t>A 6004-2023</t>
        </is>
      </c>
      <c r="B357" t="inlineStr">
        <is>
          <t>avverkningsanmälan</t>
        </is>
      </c>
      <c r="C357" t="inlineStr">
        <is>
          <t>Föryngringsavverkning</t>
        </is>
      </c>
      <c r="D357" s="1" t="n">
        <v>44959</v>
      </c>
      <c r="E357" s="1" t="n">
        <v>46223</v>
      </c>
      <c r="F357" t="inlineStr">
        <is>
          <t>NORRBOTTENS LÄN</t>
        </is>
      </c>
      <c r="G357" t="inlineStr">
        <is>
          <t>ÄLVSBYN</t>
        </is>
      </c>
      <c r="I357" t="n">
        <v>4.8</v>
      </c>
      <c r="J357" t="n">
        <v>0</v>
      </c>
      <c r="K357" t="n">
        <v>0</v>
      </c>
      <c r="L357" t="n">
        <v>0</v>
      </c>
      <c r="M357" t="n">
        <v>0</v>
      </c>
      <c r="N357" t="n">
        <v>0</v>
      </c>
      <c r="O357" t="n">
        <v>0</v>
      </c>
      <c r="P357" t="n">
        <v>0</v>
      </c>
      <c r="Q357" t="n">
        <v>0</v>
      </c>
      <c r="R357" t="n">
        <v>0</v>
      </c>
      <c r="S357" t="n">
        <v>0</v>
      </c>
      <c r="T357" t="n">
        <v>0</v>
      </c>
      <c r="U357" s="2" t="inlineStr"/>
    </row>
    <row r="358" ht="15" customHeight="1">
      <c r="A358" t="inlineStr">
        <is>
          <t>A 51051-2024</t>
        </is>
      </c>
      <c r="B358" t="inlineStr">
        <is>
          <t>avverkningsanmälan</t>
        </is>
      </c>
      <c r="C358" t="inlineStr">
        <is>
          <t>Föryngringsavverkning</t>
        </is>
      </c>
      <c r="D358" s="1" t="n">
        <v>45603</v>
      </c>
      <c r="E358" s="1" t="n">
        <v>46223</v>
      </c>
      <c r="F358" t="inlineStr">
        <is>
          <t>NORRBOTTENS LÄN</t>
        </is>
      </c>
      <c r="G358" t="inlineStr">
        <is>
          <t>ÄLVSBYN</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23164-2026</t>
        </is>
      </c>
      <c r="B359" t="inlineStr">
        <is>
          <t>avverkningsanmälan</t>
        </is>
      </c>
      <c r="C359" t="inlineStr">
        <is>
          <t>Föryngringsavverkning</t>
        </is>
      </c>
      <c r="D359" s="1" t="n">
        <v>46161</v>
      </c>
      <c r="E359" s="1" t="n">
        <v>46223</v>
      </c>
      <c r="F359" t="inlineStr">
        <is>
          <t>NORRBOTTENS LÄN</t>
        </is>
      </c>
      <c r="G359" t="inlineStr">
        <is>
          <t>ÄLVSBYN</t>
        </is>
      </c>
      <c r="H359" t="inlineStr">
        <is>
          <t>SCA</t>
        </is>
      </c>
      <c r="I359" t="n">
        <v>9.4</v>
      </c>
      <c r="J359" t="n">
        <v>0</v>
      </c>
      <c r="K359" t="n">
        <v>0</v>
      </c>
      <c r="L359" t="n">
        <v>0</v>
      </c>
      <c r="M359" t="n">
        <v>0</v>
      </c>
      <c r="N359" t="n">
        <v>0</v>
      </c>
      <c r="O359" t="n">
        <v>0</v>
      </c>
      <c r="P359" t="n">
        <v>0</v>
      </c>
      <c r="Q359" t="n">
        <v>0</v>
      </c>
      <c r="R359" t="n">
        <v>0</v>
      </c>
      <c r="S359" t="n">
        <v>0</v>
      </c>
      <c r="T359" t="n">
        <v>0</v>
      </c>
      <c r="U359" s="2" t="inlineStr"/>
    </row>
    <row r="360" ht="15" customHeight="1">
      <c r="A360" t="inlineStr">
        <is>
          <t>A 59553-2021</t>
        </is>
      </c>
      <c r="B360" t="inlineStr">
        <is>
          <t>avverkningsanmälan</t>
        </is>
      </c>
      <c r="C360" t="inlineStr">
        <is>
          <t>Föryngringsavverkning</t>
        </is>
      </c>
      <c r="D360" s="1" t="n">
        <v>44491</v>
      </c>
      <c r="E360" s="1" t="n">
        <v>46223</v>
      </c>
      <c r="F360" t="inlineStr">
        <is>
          <t>NORRBOTTENS LÄN</t>
        </is>
      </c>
      <c r="G360" t="inlineStr">
        <is>
          <t>ÄLVSBYN</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9643-2022</t>
        </is>
      </c>
      <c r="B361" t="inlineStr">
        <is>
          <t>avverkningsanmälan</t>
        </is>
      </c>
      <c r="C361" t="inlineStr">
        <is>
          <t>Föryngringsavverkning</t>
        </is>
      </c>
      <c r="D361" s="1" t="n">
        <v>44617</v>
      </c>
      <c r="E361" s="1" t="n">
        <v>46223</v>
      </c>
      <c r="F361" t="inlineStr">
        <is>
          <t>NORRBOTTENS LÄN</t>
        </is>
      </c>
      <c r="G361" t="inlineStr">
        <is>
          <t>ÄLVSBYN</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23461-2026</t>
        </is>
      </c>
      <c r="B362" t="inlineStr">
        <is>
          <t>avverkningsanmälan</t>
        </is>
      </c>
      <c r="C362" t="inlineStr">
        <is>
          <t>Föryngringsavverkning</t>
        </is>
      </c>
      <c r="D362" s="1" t="n">
        <v>46163</v>
      </c>
      <c r="E362" s="1" t="n">
        <v>46223</v>
      </c>
      <c r="F362" t="inlineStr">
        <is>
          <t>NORRBOTTENS LÄN</t>
        </is>
      </c>
      <c r="G362" t="inlineStr">
        <is>
          <t>ÄLVSBYN</t>
        </is>
      </c>
      <c r="H362" t="inlineStr">
        <is>
          <t>SCA</t>
        </is>
      </c>
      <c r="I362" t="n">
        <v>4.3</v>
      </c>
      <c r="J362" t="n">
        <v>0</v>
      </c>
      <c r="K362" t="n">
        <v>0</v>
      </c>
      <c r="L362" t="n">
        <v>0</v>
      </c>
      <c r="M362" t="n">
        <v>0</v>
      </c>
      <c r="N362" t="n">
        <v>0</v>
      </c>
      <c r="O362" t="n">
        <v>0</v>
      </c>
      <c r="P362" t="n">
        <v>0</v>
      </c>
      <c r="Q362" t="n">
        <v>0</v>
      </c>
      <c r="R362" t="n">
        <v>0</v>
      </c>
      <c r="S362" t="n">
        <v>0</v>
      </c>
      <c r="T362" t="n">
        <v>0</v>
      </c>
      <c r="U362" s="2" t="inlineStr"/>
    </row>
    <row r="363" ht="15" customHeight="1">
      <c r="A363" t="inlineStr">
        <is>
          <t>A 23741-2026</t>
        </is>
      </c>
      <c r="B363" t="inlineStr">
        <is>
          <t>avverkningsanmälan</t>
        </is>
      </c>
      <c r="C363" t="inlineStr">
        <is>
          <t>Föryngringsavverkning</t>
        </is>
      </c>
      <c r="D363" s="1" t="n">
        <v>46164</v>
      </c>
      <c r="E363" s="1" t="n">
        <v>46223</v>
      </c>
      <c r="F363" t="inlineStr">
        <is>
          <t>NORRBOTTENS LÄN</t>
        </is>
      </c>
      <c r="G363" t="inlineStr">
        <is>
          <t>ÄLVSBYN</t>
        </is>
      </c>
      <c r="H363" t="inlineStr">
        <is>
          <t>Sveaskog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31220-2023</t>
        </is>
      </c>
      <c r="B364" t="inlineStr">
        <is>
          <t>avverkningsanmälan</t>
        </is>
      </c>
      <c r="C364" t="inlineStr">
        <is>
          <t>Föryngringsavverkning</t>
        </is>
      </c>
      <c r="D364" s="1" t="n">
        <v>45114</v>
      </c>
      <c r="E364" s="1" t="n">
        <v>46223</v>
      </c>
      <c r="F364" t="inlineStr">
        <is>
          <t>NORRBOTTENS LÄN</t>
        </is>
      </c>
      <c r="G364" t="inlineStr">
        <is>
          <t>ÄLVSBYN</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3500-2023</t>
        </is>
      </c>
      <c r="B365" t="inlineStr">
        <is>
          <t>avverkningsanmälan</t>
        </is>
      </c>
      <c r="C365" t="inlineStr">
        <is>
          <t>Föryngringsavverkning</t>
        </is>
      </c>
      <c r="D365" s="1" t="n">
        <v>44949</v>
      </c>
      <c r="E365" s="1" t="n">
        <v>46223</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23439-2026</t>
        </is>
      </c>
      <c r="B366" t="inlineStr">
        <is>
          <t>avverkningsanmälan</t>
        </is>
      </c>
      <c r="C366" t="inlineStr">
        <is>
          <t>Föryngringsavverkning</t>
        </is>
      </c>
      <c r="D366" s="1" t="n">
        <v>46163</v>
      </c>
      <c r="E366" s="1" t="n">
        <v>46223</v>
      </c>
      <c r="F366" t="inlineStr">
        <is>
          <t>NORRBOTTENS LÄN</t>
        </is>
      </c>
      <c r="G366" t="inlineStr">
        <is>
          <t>ÄLVSBYN</t>
        </is>
      </c>
      <c r="H366" t="inlineStr">
        <is>
          <t>SCA</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40282-2024</t>
        </is>
      </c>
      <c r="B367" t="inlineStr">
        <is>
          <t>avverkningsanmälan</t>
        </is>
      </c>
      <c r="C367" t="inlineStr">
        <is>
          <t>Föryngringsavverkning</t>
        </is>
      </c>
      <c r="D367" s="1" t="n">
        <v>45554</v>
      </c>
      <c r="E367" s="1" t="n">
        <v>46223</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32966-2023</t>
        </is>
      </c>
      <c r="B368" t="inlineStr">
        <is>
          <t>avverkningsanmälan</t>
        </is>
      </c>
      <c r="C368" t="inlineStr">
        <is>
          <t>Föryngringsavverkning</t>
        </is>
      </c>
      <c r="D368" s="1" t="n">
        <v>45125</v>
      </c>
      <c r="E368" s="1" t="n">
        <v>46223</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30956-2026</t>
        </is>
      </c>
      <c r="B369" t="inlineStr">
        <is>
          <t>avverkningsanmälan</t>
        </is>
      </c>
      <c r="C369" t="inlineStr">
        <is>
          <t>Föryngringsavverkning</t>
        </is>
      </c>
      <c r="D369" s="1" t="n">
        <v>46213</v>
      </c>
      <c r="E369" s="1" t="n">
        <v>46223</v>
      </c>
      <c r="F369" t="inlineStr">
        <is>
          <t>NORRBOTTENS LÄN</t>
        </is>
      </c>
      <c r="G369" t="inlineStr">
        <is>
          <t>ÄLVSBYN</t>
        </is>
      </c>
      <c r="H369" t="inlineStr">
        <is>
          <t>SCA</t>
        </is>
      </c>
      <c r="I369" t="n">
        <v>13.3</v>
      </c>
      <c r="J369" t="n">
        <v>0</v>
      </c>
      <c r="K369" t="n">
        <v>0</v>
      </c>
      <c r="L369" t="n">
        <v>0</v>
      </c>
      <c r="M369" t="n">
        <v>0</v>
      </c>
      <c r="N369" t="n">
        <v>0</v>
      </c>
      <c r="O369" t="n">
        <v>0</v>
      </c>
      <c r="P369" t="n">
        <v>0</v>
      </c>
      <c r="Q369" t="n">
        <v>0</v>
      </c>
      <c r="R369" t="n">
        <v>0</v>
      </c>
      <c r="S369" t="n">
        <v>0</v>
      </c>
      <c r="T369" t="n">
        <v>0</v>
      </c>
      <c r="U369" s="2" t="inlineStr"/>
    </row>
    <row r="370" ht="15" customHeight="1">
      <c r="A370" t="inlineStr">
        <is>
          <t>A 27770-2026</t>
        </is>
      </c>
      <c r="B370" t="inlineStr">
        <is>
          <t>avverkningsanmälan</t>
        </is>
      </c>
      <c r="C370" t="inlineStr">
        <is>
          <t>Föryngringsavverkning</t>
        </is>
      </c>
      <c r="D370" s="1" t="n">
        <v>46191</v>
      </c>
      <c r="E370" s="1" t="n">
        <v>46223</v>
      </c>
      <c r="F370" t="inlineStr">
        <is>
          <t>NORRBOTTENS LÄN</t>
        </is>
      </c>
      <c r="G370" t="inlineStr">
        <is>
          <t>ÄLVSBYN</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39020-2024</t>
        </is>
      </c>
      <c r="B371" t="inlineStr">
        <is>
          <t>avverkningsanmälan</t>
        </is>
      </c>
      <c r="C371" t="inlineStr">
        <is>
          <t>Föryngringsavverkning</t>
        </is>
      </c>
      <c r="D371" s="1" t="n">
        <v>45548</v>
      </c>
      <c r="E371" s="1" t="n">
        <v>46223</v>
      </c>
      <c r="F371" t="inlineStr">
        <is>
          <t>NORRBOTTENS LÄN</t>
        </is>
      </c>
      <c r="G371" t="inlineStr">
        <is>
          <t>ÄLVSBYN</t>
        </is>
      </c>
      <c r="H371" t="inlineStr">
        <is>
          <t>Sveaskog</t>
        </is>
      </c>
      <c r="I371" t="n">
        <v>9.4</v>
      </c>
      <c r="J371" t="n">
        <v>0</v>
      </c>
      <c r="K371" t="n">
        <v>0</v>
      </c>
      <c r="L371" t="n">
        <v>0</v>
      </c>
      <c r="M371" t="n">
        <v>0</v>
      </c>
      <c r="N371" t="n">
        <v>0</v>
      </c>
      <c r="O371" t="n">
        <v>0</v>
      </c>
      <c r="P371" t="n">
        <v>0</v>
      </c>
      <c r="Q371" t="n">
        <v>0</v>
      </c>
      <c r="R371" t="n">
        <v>0</v>
      </c>
      <c r="S371" t="n">
        <v>0</v>
      </c>
      <c r="T371" t="n">
        <v>0</v>
      </c>
      <c r="U371" s="2" t="inlineStr"/>
    </row>
    <row r="372" ht="15" customHeight="1">
      <c r="A372" t="inlineStr">
        <is>
          <t>A 51981-2022</t>
        </is>
      </c>
      <c r="B372" t="inlineStr">
        <is>
          <t>avverkningsanmälan</t>
        </is>
      </c>
      <c r="C372" t="inlineStr">
        <is>
          <t>Föryngringsavverkning</t>
        </is>
      </c>
      <c r="D372" s="1" t="n">
        <v>44872</v>
      </c>
      <c r="E372" s="1" t="n">
        <v>46223</v>
      </c>
      <c r="F372" t="inlineStr">
        <is>
          <t>NORRBOTTENS LÄN</t>
        </is>
      </c>
      <c r="G372" t="inlineStr">
        <is>
          <t>ÄLVSBYN</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24982-2026</t>
        </is>
      </c>
      <c r="B373" t="inlineStr">
        <is>
          <t>avverkningsanmälan</t>
        </is>
      </c>
      <c r="C373" t="inlineStr">
        <is>
          <t>Föryngringsavverkning</t>
        </is>
      </c>
      <c r="D373" s="1" t="n">
        <v>46174</v>
      </c>
      <c r="E373" s="1" t="n">
        <v>46223</v>
      </c>
      <c r="F373" t="inlineStr">
        <is>
          <t>NORRBOTTENS LÄN</t>
        </is>
      </c>
      <c r="G373" t="inlineStr">
        <is>
          <t>ÄLVSBYN</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9634-2022</t>
        </is>
      </c>
      <c r="B374" t="inlineStr">
        <is>
          <t>avverkningsanmälan</t>
        </is>
      </c>
      <c r="C374" t="inlineStr">
        <is>
          <t>Avverkning för annat ändamål</t>
        </is>
      </c>
      <c r="D374" s="1" t="n">
        <v>44617</v>
      </c>
      <c r="E374" s="1" t="n">
        <v>46223</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s="2" t="inlineStr"/>
    </row>
    <row r="375" ht="15" customHeight="1">
      <c r="A375" t="inlineStr">
        <is>
          <t>A 50375-2023</t>
        </is>
      </c>
      <c r="B375" t="inlineStr">
        <is>
          <t>avverkningsanmälan</t>
        </is>
      </c>
      <c r="C375" t="inlineStr">
        <is>
          <t>Föryngringsavverkning</t>
        </is>
      </c>
      <c r="D375" s="1" t="n">
        <v>45216</v>
      </c>
      <c r="E375" s="1" t="n">
        <v>46223</v>
      </c>
      <c r="F375" t="inlineStr">
        <is>
          <t>NORRBOTTENS LÄN</t>
        </is>
      </c>
      <c r="G375" t="inlineStr">
        <is>
          <t>ÄLVSBYN</t>
        </is>
      </c>
      <c r="I375" t="n">
        <v>10.3</v>
      </c>
      <c r="J375" t="n">
        <v>0</v>
      </c>
      <c r="K375" t="n">
        <v>0</v>
      </c>
      <c r="L375" t="n">
        <v>0</v>
      </c>
      <c r="M375" t="n">
        <v>0</v>
      </c>
      <c r="N375" t="n">
        <v>0</v>
      </c>
      <c r="O375" t="n">
        <v>0</v>
      </c>
      <c r="P375" t="n">
        <v>0</v>
      </c>
      <c r="Q375" t="n">
        <v>0</v>
      </c>
      <c r="R375" t="n">
        <v>0</v>
      </c>
      <c r="S375" t="n">
        <v>0</v>
      </c>
      <c r="T375" t="n">
        <v>0</v>
      </c>
      <c r="U375" s="2" t="inlineStr"/>
    </row>
    <row r="376" ht="15" customHeight="1">
      <c r="A376" t="inlineStr">
        <is>
          <t>A 25575-2026</t>
        </is>
      </c>
      <c r="B376" t="inlineStr">
        <is>
          <t>avverkningsanmälan</t>
        </is>
      </c>
      <c r="C376" t="inlineStr">
        <is>
          <t>Föryngringsavverkning</t>
        </is>
      </c>
      <c r="D376" s="1" t="n">
        <v>46177</v>
      </c>
      <c r="E376" s="1" t="n">
        <v>46223</v>
      </c>
      <c r="F376" t="inlineStr">
        <is>
          <t>NORRBOTTENS LÄN</t>
        </is>
      </c>
      <c r="G376" t="inlineStr">
        <is>
          <t>ÄLVSBYN</t>
        </is>
      </c>
      <c r="H376" t="inlineStr">
        <is>
          <t>Sveaskog</t>
        </is>
      </c>
      <c r="I376" t="n">
        <v>12.8</v>
      </c>
      <c r="J376" t="n">
        <v>0</v>
      </c>
      <c r="K376" t="n">
        <v>0</v>
      </c>
      <c r="L376" t="n">
        <v>0</v>
      </c>
      <c r="M376" t="n">
        <v>0</v>
      </c>
      <c r="N376" t="n">
        <v>0</v>
      </c>
      <c r="O376" t="n">
        <v>0</v>
      </c>
      <c r="P376" t="n">
        <v>0</v>
      </c>
      <c r="Q376" t="n">
        <v>0</v>
      </c>
      <c r="R376" t="n">
        <v>0</v>
      </c>
      <c r="S376" t="n">
        <v>0</v>
      </c>
      <c r="T376" t="n">
        <v>0</v>
      </c>
      <c r="U376" s="2" t="inlineStr"/>
    </row>
    <row r="377" ht="15" customHeight="1">
      <c r="A377" t="inlineStr">
        <is>
          <t>A 25364-2026</t>
        </is>
      </c>
      <c r="B377" t="inlineStr">
        <is>
          <t>avverkningsanmälan</t>
        </is>
      </c>
      <c r="C377" t="inlineStr">
        <is>
          <t>Föryngringsavverkning</t>
        </is>
      </c>
      <c r="D377" s="1" t="n">
        <v>46176</v>
      </c>
      <c r="E377" s="1" t="n">
        <v>46223</v>
      </c>
      <c r="F377" t="inlineStr">
        <is>
          <t>NORRBOTTENS LÄN</t>
        </is>
      </c>
      <c r="G377" t="inlineStr">
        <is>
          <t>ÄLVSBYN</t>
        </is>
      </c>
      <c r="H377" t="inlineStr">
        <is>
          <t>SCA</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58321-2024</t>
        </is>
      </c>
      <c r="B378" t="inlineStr">
        <is>
          <t>avverkningsanmälan</t>
        </is>
      </c>
      <c r="C378" t="inlineStr">
        <is>
          <t>Föryngringsavverkning</t>
        </is>
      </c>
      <c r="D378" s="1" t="n">
        <v>45632</v>
      </c>
      <c r="E378" s="1" t="n">
        <v>46223</v>
      </c>
      <c r="F378" t="inlineStr">
        <is>
          <t>NORRBOTTENS LÄN</t>
        </is>
      </c>
      <c r="G378" t="inlineStr">
        <is>
          <t>ÄLVSBYN</t>
        </is>
      </c>
      <c r="I378" t="n">
        <v>22.1</v>
      </c>
      <c r="J378" t="n">
        <v>0</v>
      </c>
      <c r="K378" t="n">
        <v>0</v>
      </c>
      <c r="L378" t="n">
        <v>0</v>
      </c>
      <c r="M378" t="n">
        <v>0</v>
      </c>
      <c r="N378" t="n">
        <v>0</v>
      </c>
      <c r="O378" t="n">
        <v>0</v>
      </c>
      <c r="P378" t="n">
        <v>0</v>
      </c>
      <c r="Q378" t="n">
        <v>0</v>
      </c>
      <c r="R378" t="n">
        <v>0</v>
      </c>
      <c r="S378" t="n">
        <v>0</v>
      </c>
      <c r="T378" t="n">
        <v>0</v>
      </c>
      <c r="U378" s="2" t="inlineStr"/>
    </row>
    <row r="379" ht="15" customHeight="1">
      <c r="A379" t="inlineStr">
        <is>
          <t>A 51457-2023</t>
        </is>
      </c>
      <c r="B379" t="inlineStr">
        <is>
          <t>avverkningsanmälan</t>
        </is>
      </c>
      <c r="C379" t="inlineStr">
        <is>
          <t>Föryngringsavverkning</t>
        </is>
      </c>
      <c r="D379" s="1" t="n">
        <v>45220</v>
      </c>
      <c r="E379" s="1" t="n">
        <v>46223</v>
      </c>
      <c r="F379" t="inlineStr">
        <is>
          <t>NORRBOTTENS LÄN</t>
        </is>
      </c>
      <c r="G379" t="inlineStr">
        <is>
          <t>ÄLVSBYN</t>
        </is>
      </c>
      <c r="H379" t="inlineStr">
        <is>
          <t>SCA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51684-2024</t>
        </is>
      </c>
      <c r="B380" t="inlineStr">
        <is>
          <t>avverkningsanmälan</t>
        </is>
      </c>
      <c r="C380" t="inlineStr">
        <is>
          <t>Föryngringsavverkning</t>
        </is>
      </c>
      <c r="D380" s="1" t="n">
        <v>45607</v>
      </c>
      <c r="E380" s="1" t="n">
        <v>46223</v>
      </c>
      <c r="F380" t="inlineStr">
        <is>
          <t>NORRBOTTENS LÄN</t>
        </is>
      </c>
      <c r="G380" t="inlineStr">
        <is>
          <t>ÄLVSBYN</t>
        </is>
      </c>
      <c r="H380" t="inlineStr">
        <is>
          <t>Sveaskog</t>
        </is>
      </c>
      <c r="I380" t="n">
        <v>6.2</v>
      </c>
      <c r="J380" t="n">
        <v>0</v>
      </c>
      <c r="K380" t="n">
        <v>0</v>
      </c>
      <c r="L380" t="n">
        <v>0</v>
      </c>
      <c r="M380" t="n">
        <v>0</v>
      </c>
      <c r="N380" t="n">
        <v>0</v>
      </c>
      <c r="O380" t="n">
        <v>0</v>
      </c>
      <c r="P380" t="n">
        <v>0</v>
      </c>
      <c r="Q380" t="n">
        <v>0</v>
      </c>
      <c r="R380" t="n">
        <v>0</v>
      </c>
      <c r="S380" t="n">
        <v>0</v>
      </c>
      <c r="T380" t="n">
        <v>0</v>
      </c>
      <c r="U380" s="2" t="inlineStr"/>
    </row>
    <row r="381" ht="15" customHeight="1">
      <c r="A381" t="inlineStr">
        <is>
          <t>A 45949-2024</t>
        </is>
      </c>
      <c r="B381" t="inlineStr">
        <is>
          <t>avverkningsanmälan</t>
        </is>
      </c>
      <c r="C381" t="inlineStr">
        <is>
          <t>Föryngringsavverkning</t>
        </is>
      </c>
      <c r="D381" s="1" t="n">
        <v>45580</v>
      </c>
      <c r="E381" s="1" t="n">
        <v>46223</v>
      </c>
      <c r="F381" t="inlineStr">
        <is>
          <t>NORRBOTTENS LÄN</t>
        </is>
      </c>
      <c r="G381" t="inlineStr">
        <is>
          <t>ÄLVSBYN</t>
        </is>
      </c>
      <c r="I381" t="n">
        <v>15.2</v>
      </c>
      <c r="J381" t="n">
        <v>0</v>
      </c>
      <c r="K381" t="n">
        <v>0</v>
      </c>
      <c r="L381" t="n">
        <v>0</v>
      </c>
      <c r="M381" t="n">
        <v>0</v>
      </c>
      <c r="N381" t="n">
        <v>0</v>
      </c>
      <c r="O381" t="n">
        <v>0</v>
      </c>
      <c r="P381" t="n">
        <v>0</v>
      </c>
      <c r="Q381" t="n">
        <v>0</v>
      </c>
      <c r="R381" t="n">
        <v>0</v>
      </c>
      <c r="S381" t="n">
        <v>0</v>
      </c>
      <c r="T381" t="n">
        <v>0</v>
      </c>
      <c r="U381" s="2" t="inlineStr"/>
    </row>
    <row r="382" ht="15" customHeight="1">
      <c r="A382" t="inlineStr">
        <is>
          <t>A 45724-2024</t>
        </is>
      </c>
      <c r="B382" t="inlineStr">
        <is>
          <t>avverkningsanmälan</t>
        </is>
      </c>
      <c r="C382" t="inlineStr">
        <is>
          <t>Föryngringsavverkning</t>
        </is>
      </c>
      <c r="D382" s="1" t="n">
        <v>45579</v>
      </c>
      <c r="E382" s="1" t="n">
        <v>46223</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60589-2024</t>
        </is>
      </c>
      <c r="B383" t="inlineStr">
        <is>
          <t>avverkningsanmälan</t>
        </is>
      </c>
      <c r="C383" t="inlineStr">
        <is>
          <t>Föryngringsavverkning</t>
        </is>
      </c>
      <c r="D383" s="1" t="n">
        <v>45642</v>
      </c>
      <c r="E383" s="1" t="n">
        <v>46223</v>
      </c>
      <c r="F383" t="inlineStr">
        <is>
          <t>NORRBOTTENS LÄN</t>
        </is>
      </c>
      <c r="G383" t="inlineStr">
        <is>
          <t>ÄLVSBYN</t>
        </is>
      </c>
      <c r="I383" t="n">
        <v>6.6</v>
      </c>
      <c r="J383" t="n">
        <v>0</v>
      </c>
      <c r="K383" t="n">
        <v>0</v>
      </c>
      <c r="L383" t="n">
        <v>0</v>
      </c>
      <c r="M383" t="n">
        <v>0</v>
      </c>
      <c r="N383" t="n">
        <v>0</v>
      </c>
      <c r="O383" t="n">
        <v>0</v>
      </c>
      <c r="P383" t="n">
        <v>0</v>
      </c>
      <c r="Q383" t="n">
        <v>0</v>
      </c>
      <c r="R383" t="n">
        <v>0</v>
      </c>
      <c r="S383" t="n">
        <v>0</v>
      </c>
      <c r="T383" t="n">
        <v>0</v>
      </c>
      <c r="U383" s="2" t="inlineStr"/>
    </row>
    <row r="384" ht="15" customHeight="1">
      <c r="A384" t="inlineStr">
        <is>
          <t>A 20166-2025</t>
        </is>
      </c>
      <c r="B384" t="inlineStr">
        <is>
          <t>avverkningsanmälan</t>
        </is>
      </c>
      <c r="C384" t="inlineStr">
        <is>
          <t>Föryngringsavverkning</t>
        </is>
      </c>
      <c r="D384" s="1" t="n">
        <v>45772</v>
      </c>
      <c r="E384" s="1" t="n">
        <v>46223</v>
      </c>
      <c r="F384" t="inlineStr">
        <is>
          <t>NORRBOTTENS LÄN</t>
        </is>
      </c>
      <c r="G384" t="inlineStr">
        <is>
          <t>ÄLVSBYN</t>
        </is>
      </c>
      <c r="I384" t="n">
        <v>5</v>
      </c>
      <c r="J384" t="n">
        <v>0</v>
      </c>
      <c r="K384" t="n">
        <v>0</v>
      </c>
      <c r="L384" t="n">
        <v>0</v>
      </c>
      <c r="M384" t="n">
        <v>0</v>
      </c>
      <c r="N384" t="n">
        <v>0</v>
      </c>
      <c r="O384" t="n">
        <v>0</v>
      </c>
      <c r="P384" t="n">
        <v>0</v>
      </c>
      <c r="Q384" t="n">
        <v>0</v>
      </c>
      <c r="R384" t="n">
        <v>0</v>
      </c>
      <c r="S384" t="n">
        <v>0</v>
      </c>
      <c r="T384" t="n">
        <v>0</v>
      </c>
      <c r="U384" s="2" t="inlineStr"/>
    </row>
    <row r="385" ht="15" customHeight="1">
      <c r="A385" t="inlineStr">
        <is>
          <t>A 21990-2025</t>
        </is>
      </c>
      <c r="B385" t="inlineStr">
        <is>
          <t>avverkningsanmälan</t>
        </is>
      </c>
      <c r="C385" t="inlineStr">
        <is>
          <t>Föryngringsavverkning</t>
        </is>
      </c>
      <c r="D385" s="1" t="n">
        <v>45784</v>
      </c>
      <c r="E385" s="1" t="n">
        <v>46223</v>
      </c>
      <c r="F385" t="inlineStr">
        <is>
          <t>NORRBOTTENS LÄN</t>
        </is>
      </c>
      <c r="G385" t="inlineStr">
        <is>
          <t>ÄLVSBYN</t>
        </is>
      </c>
      <c r="H385" t="inlineStr">
        <is>
          <t>Övriga Aktiebolag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28862-2024</t>
        </is>
      </c>
      <c r="B386" t="inlineStr">
        <is>
          <t>avverkningsanmälan</t>
        </is>
      </c>
      <c r="C386" t="inlineStr">
        <is>
          <t>Föryngringsavverkning</t>
        </is>
      </c>
      <c r="D386" s="1" t="n">
        <v>45478</v>
      </c>
      <c r="E386" s="1" t="n">
        <v>46223</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50672-2024</t>
        </is>
      </c>
      <c r="B387" t="inlineStr">
        <is>
          <t>avverkningsanmälan</t>
        </is>
      </c>
      <c r="C387" t="inlineStr">
        <is>
          <t>Föryngringsavverkning</t>
        </is>
      </c>
      <c r="D387" s="1" t="n">
        <v>45601</v>
      </c>
      <c r="E387" s="1" t="n">
        <v>46223</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23411-2025</t>
        </is>
      </c>
      <c r="B388" t="inlineStr">
        <is>
          <t>avverkningsanmälan</t>
        </is>
      </c>
      <c r="C388" t="inlineStr">
        <is>
          <t>Föryngringsavverkning</t>
        </is>
      </c>
      <c r="D388" s="1" t="n">
        <v>45792</v>
      </c>
      <c r="E388" s="1" t="n">
        <v>46223</v>
      </c>
      <c r="F388" t="inlineStr">
        <is>
          <t>NORRBOTTENS LÄN</t>
        </is>
      </c>
      <c r="G388" t="inlineStr">
        <is>
          <t>ÄLVSBYN</t>
        </is>
      </c>
      <c r="H388" t="inlineStr">
        <is>
          <t>SCA</t>
        </is>
      </c>
      <c r="I388" t="n">
        <v>10.6</v>
      </c>
      <c r="J388" t="n">
        <v>0</v>
      </c>
      <c r="K388" t="n">
        <v>0</v>
      </c>
      <c r="L388" t="n">
        <v>0</v>
      </c>
      <c r="M388" t="n">
        <v>0</v>
      </c>
      <c r="N388" t="n">
        <v>0</v>
      </c>
      <c r="O388" t="n">
        <v>0</v>
      </c>
      <c r="P388" t="n">
        <v>0</v>
      </c>
      <c r="Q388" t="n">
        <v>0</v>
      </c>
      <c r="R388" t="n">
        <v>0</v>
      </c>
      <c r="S388" t="n">
        <v>0</v>
      </c>
      <c r="T388" t="n">
        <v>0</v>
      </c>
      <c r="U388" s="2" t="inlineStr"/>
    </row>
    <row r="389" ht="15" customHeight="1">
      <c r="A389" t="inlineStr">
        <is>
          <t>A 23336-2025</t>
        </is>
      </c>
      <c r="B389" t="inlineStr">
        <is>
          <t>avverkningsanmälan</t>
        </is>
      </c>
      <c r="C389" t="inlineStr">
        <is>
          <t>Föryngringsavverkning</t>
        </is>
      </c>
      <c r="D389" s="1" t="n">
        <v>45791</v>
      </c>
      <c r="E389" s="1" t="n">
        <v>46223</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s="2" t="inlineStr"/>
    </row>
    <row r="390" ht="15" customHeight="1">
      <c r="A390" t="inlineStr">
        <is>
          <t>A 34448-2024</t>
        </is>
      </c>
      <c r="B390" t="inlineStr">
        <is>
          <t>avverkningsanmälan</t>
        </is>
      </c>
      <c r="C390" t="inlineStr">
        <is>
          <t>Föryngringsavverkning</t>
        </is>
      </c>
      <c r="D390" s="1" t="n">
        <v>45525</v>
      </c>
      <c r="E390" s="1" t="n">
        <v>46223</v>
      </c>
      <c r="F390" t="inlineStr">
        <is>
          <t>NORRBOTTENS LÄN</t>
        </is>
      </c>
      <c r="G390" t="inlineStr">
        <is>
          <t>ÄLVSBYN</t>
        </is>
      </c>
      <c r="H390" t="inlineStr">
        <is>
          <t>Övriga Aktiebolag</t>
        </is>
      </c>
      <c r="I390" t="n">
        <v>7.8</v>
      </c>
      <c r="J390" t="n">
        <v>0</v>
      </c>
      <c r="K390" t="n">
        <v>0</v>
      </c>
      <c r="L390" t="n">
        <v>0</v>
      </c>
      <c r="M390" t="n">
        <v>0</v>
      </c>
      <c r="N390" t="n">
        <v>0</v>
      </c>
      <c r="O390" t="n">
        <v>0</v>
      </c>
      <c r="P390" t="n">
        <v>0</v>
      </c>
      <c r="Q390" t="n">
        <v>0</v>
      </c>
      <c r="R390" t="n">
        <v>0</v>
      </c>
      <c r="S390" t="n">
        <v>0</v>
      </c>
      <c r="T390" t="n">
        <v>0</v>
      </c>
      <c r="U390" s="2" t="inlineStr"/>
    </row>
    <row r="391" ht="15" customHeight="1">
      <c r="A391" t="inlineStr">
        <is>
          <t>A 21548-2025</t>
        </is>
      </c>
      <c r="B391" t="inlineStr">
        <is>
          <t>avverkningsanmälan</t>
        </is>
      </c>
      <c r="C391" t="inlineStr">
        <is>
          <t>Föryngringsavverkning</t>
        </is>
      </c>
      <c r="D391" s="1" t="n">
        <v>45782</v>
      </c>
      <c r="E391" s="1" t="n">
        <v>46223</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25622-2025</t>
        </is>
      </c>
      <c r="B392" t="inlineStr">
        <is>
          <t>avverkningsanmälan</t>
        </is>
      </c>
      <c r="C392" t="inlineStr">
        <is>
          <t>Föryngringsavverkning</t>
        </is>
      </c>
      <c r="D392" s="1" t="n">
        <v>45803</v>
      </c>
      <c r="E392" s="1" t="n">
        <v>46223</v>
      </c>
      <c r="F392" t="inlineStr">
        <is>
          <t>NORRBOTTENS LÄN</t>
        </is>
      </c>
      <c r="G392" t="inlineStr">
        <is>
          <t>ÄLVSBYN</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S 2653-2024</t>
        </is>
      </c>
      <c r="B393" t="inlineStr">
        <is>
          <t>samrådsanmälan</t>
        </is>
      </c>
      <c r="C393" t="inlineStr">
        <is>
          <t>Skogsgödsling</t>
        </is>
      </c>
      <c r="D393" s="1" t="n">
        <v>45478</v>
      </c>
      <c r="E393" s="1" t="n">
        <v>46223</v>
      </c>
      <c r="F393" t="inlineStr">
        <is>
          <t>NORRBOTTENS LÄN</t>
        </is>
      </c>
      <c r="G393" t="inlineStr">
        <is>
          <t>ÄLVSBYN</t>
        </is>
      </c>
      <c r="I393" t="n">
        <v>18.7</v>
      </c>
      <c r="J393" t="n">
        <v>0</v>
      </c>
      <c r="K393" t="n">
        <v>0</v>
      </c>
      <c r="L393" t="n">
        <v>0</v>
      </c>
      <c r="M393" t="n">
        <v>0</v>
      </c>
      <c r="N393" t="n">
        <v>0</v>
      </c>
      <c r="O393" t="n">
        <v>0</v>
      </c>
      <c r="P393" t="n">
        <v>0</v>
      </c>
      <c r="Q393" t="n">
        <v>0</v>
      </c>
      <c r="R393" t="n">
        <v>0</v>
      </c>
      <c r="S393" t="n">
        <v>0</v>
      </c>
      <c r="T393" t="n">
        <v>0</v>
      </c>
      <c r="U393" s="2" t="inlineStr"/>
    </row>
    <row r="394" ht="15" customHeight="1">
      <c r="A394" t="inlineStr">
        <is>
          <t>S 196-2023</t>
        </is>
      </c>
      <c r="B394" t="inlineStr">
        <is>
          <t>samrådsanmälan</t>
        </is>
      </c>
      <c r="C394" t="inlineStr">
        <is>
          <t>Skogsgödsling</t>
        </is>
      </c>
      <c r="D394" s="1" t="n">
        <v>44945</v>
      </c>
      <c r="E394" s="1" t="n">
        <v>46223</v>
      </c>
      <c r="F394" t="inlineStr">
        <is>
          <t>NORRBOTTENS LÄN</t>
        </is>
      </c>
      <c r="G394" t="inlineStr">
        <is>
          <t>ÄLVSBYN</t>
        </is>
      </c>
      <c r="H394" t="inlineStr">
        <is>
          <t>SCA</t>
        </is>
      </c>
      <c r="I394" t="n">
        <v>23.6</v>
      </c>
      <c r="J394" t="n">
        <v>0</v>
      </c>
      <c r="K394" t="n">
        <v>0</v>
      </c>
      <c r="L394" t="n">
        <v>0</v>
      </c>
      <c r="M394" t="n">
        <v>0</v>
      </c>
      <c r="N394" t="n">
        <v>0</v>
      </c>
      <c r="O394" t="n">
        <v>0</v>
      </c>
      <c r="P394" t="n">
        <v>0</v>
      </c>
      <c r="Q394" t="n">
        <v>0</v>
      </c>
      <c r="R394" t="n">
        <v>0</v>
      </c>
      <c r="S394" t="n">
        <v>0</v>
      </c>
      <c r="T394" t="n">
        <v>0</v>
      </c>
      <c r="U394" s="2" t="inlineStr"/>
    </row>
    <row r="395" ht="15" customHeight="1">
      <c r="A395" t="inlineStr">
        <is>
          <t>S 289-2025</t>
        </is>
      </c>
      <c r="B395" t="inlineStr">
        <is>
          <t>samrådsanmälan</t>
        </is>
      </c>
      <c r="C395" t="inlineStr">
        <is>
          <t>Skogsgödsling</t>
        </is>
      </c>
      <c r="D395" s="1" t="n">
        <v>45686</v>
      </c>
      <c r="E395" s="1" t="n">
        <v>46223</v>
      </c>
      <c r="F395" t="inlineStr">
        <is>
          <t>NORRBOTTENS LÄN</t>
        </is>
      </c>
      <c r="G395" t="inlineStr">
        <is>
          <t>ÄLVSBYN</t>
        </is>
      </c>
      <c r="I395" t="n">
        <v>18.9</v>
      </c>
      <c r="J395" t="n">
        <v>0</v>
      </c>
      <c r="K395" t="n">
        <v>0</v>
      </c>
      <c r="L395" t="n">
        <v>0</v>
      </c>
      <c r="M395" t="n">
        <v>0</v>
      </c>
      <c r="N395" t="n">
        <v>0</v>
      </c>
      <c r="O395" t="n">
        <v>0</v>
      </c>
      <c r="P395" t="n">
        <v>0</v>
      </c>
      <c r="Q395" t="n">
        <v>0</v>
      </c>
      <c r="R395" t="n">
        <v>0</v>
      </c>
      <c r="S395" t="n">
        <v>0</v>
      </c>
      <c r="T395" t="n">
        <v>0</v>
      </c>
      <c r="U395" s="2" t="inlineStr"/>
    </row>
    <row r="396" ht="15" customHeight="1">
      <c r="A396" t="inlineStr">
        <is>
          <t>S 1580-2025</t>
        </is>
      </c>
      <c r="B396" t="inlineStr">
        <is>
          <t>samrådsanmälan</t>
        </is>
      </c>
      <c r="C396" t="inlineStr">
        <is>
          <t>Skogsgödsling</t>
        </is>
      </c>
      <c r="D396" s="1" t="n">
        <v>45792</v>
      </c>
      <c r="E396" s="1" t="n">
        <v>46223</v>
      </c>
      <c r="F396" t="inlineStr">
        <is>
          <t>NORRBOTTENS LÄN</t>
        </is>
      </c>
      <c r="G396" t="inlineStr">
        <is>
          <t>ÄLVSBYN</t>
        </is>
      </c>
      <c r="H396" t="inlineStr">
        <is>
          <t>Övriga Aktiebolag</t>
        </is>
      </c>
      <c r="I396" t="n">
        <v>11.5</v>
      </c>
      <c r="J396" t="n">
        <v>0</v>
      </c>
      <c r="K396" t="n">
        <v>0</v>
      </c>
      <c r="L396" t="n">
        <v>0</v>
      </c>
      <c r="M396" t="n">
        <v>0</v>
      </c>
      <c r="N396" t="n">
        <v>0</v>
      </c>
      <c r="O396" t="n">
        <v>0</v>
      </c>
      <c r="P396" t="n">
        <v>0</v>
      </c>
      <c r="Q396" t="n">
        <v>0</v>
      </c>
      <c r="R396" t="n">
        <v>0</v>
      </c>
      <c r="S396" t="n">
        <v>0</v>
      </c>
      <c r="T396" t="n">
        <v>0</v>
      </c>
      <c r="U396" s="2" t="inlineStr"/>
    </row>
    <row r="397" ht="15" customHeight="1">
      <c r="A397" t="inlineStr">
        <is>
          <t>S 1789-2024</t>
        </is>
      </c>
      <c r="B397" t="inlineStr">
        <is>
          <t>samrådsanmälan</t>
        </is>
      </c>
      <c r="C397" t="inlineStr">
        <is>
          <t>Skogsbilväg</t>
        </is>
      </c>
      <c r="D397" s="1" t="n">
        <v>45436</v>
      </c>
      <c r="E397" s="1" t="n">
        <v>46223</v>
      </c>
      <c r="F397" t="inlineStr">
        <is>
          <t>NORRBOTTENS LÄN</t>
        </is>
      </c>
      <c r="G397" t="inlineStr">
        <is>
          <t>ÄLVSBYN</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S 3022-2025</t>
        </is>
      </c>
      <c r="B398" t="inlineStr">
        <is>
          <t>samrådsanmälan</t>
        </is>
      </c>
      <c r="C398" t="inlineStr">
        <is>
          <t>Annan skogsbruksåtgärd</t>
        </is>
      </c>
      <c r="D398" s="1" t="n">
        <v>45960</v>
      </c>
      <c r="E398" s="1" t="n">
        <v>46223</v>
      </c>
      <c r="F398" t="inlineStr">
        <is>
          <t>NORRBOTTENS LÄN</t>
        </is>
      </c>
      <c r="G398" t="inlineStr">
        <is>
          <t>ÄLVSBYN</t>
        </is>
      </c>
      <c r="H398" t="inlineStr">
        <is>
          <t>Sveaskog</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S 3031-2025</t>
        </is>
      </c>
      <c r="B399" t="inlineStr">
        <is>
          <t>samrådsanmälan</t>
        </is>
      </c>
      <c r="C399" t="inlineStr">
        <is>
          <t>Annan skogsbruksåtgärd</t>
        </is>
      </c>
      <c r="D399" s="1" t="n">
        <v>45961</v>
      </c>
      <c r="E399" s="1" t="n">
        <v>46223</v>
      </c>
      <c r="F399" t="inlineStr">
        <is>
          <t>NORRBOTTENS LÄN</t>
        </is>
      </c>
      <c r="G399" t="inlineStr">
        <is>
          <t>ÄLVSBYN</t>
        </is>
      </c>
      <c r="H399" t="inlineStr">
        <is>
          <t>Sveaskog</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S 3047-2025</t>
        </is>
      </c>
      <c r="B400" t="inlineStr">
        <is>
          <t>samrådsanmälan</t>
        </is>
      </c>
      <c r="C400" t="inlineStr">
        <is>
          <t>Annan skogsbruksåtgärd</t>
        </is>
      </c>
      <c r="D400" s="1" t="n">
        <v>45961</v>
      </c>
      <c r="E400" s="1" t="n">
        <v>46223</v>
      </c>
      <c r="F400" t="inlineStr">
        <is>
          <t>NORRBOTTENS LÄN</t>
        </is>
      </c>
      <c r="G400" t="inlineStr">
        <is>
          <t>ÄLVSBYN</t>
        </is>
      </c>
      <c r="H400" t="inlineStr">
        <is>
          <t>Sveaskog</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S 3049-2025</t>
        </is>
      </c>
      <c r="B401" t="inlineStr">
        <is>
          <t>samrådsanmälan</t>
        </is>
      </c>
      <c r="C401" t="inlineStr">
        <is>
          <t>Annan skogsbruksåtgärd</t>
        </is>
      </c>
      <c r="D401" s="1" t="n">
        <v>45961</v>
      </c>
      <c r="E401" s="1" t="n">
        <v>46223</v>
      </c>
      <c r="F401" t="inlineStr">
        <is>
          <t>NORRBOTTENS LÄN</t>
        </is>
      </c>
      <c r="G401" t="inlineStr">
        <is>
          <t>ÄLVSBYN</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S 413-2026</t>
        </is>
      </c>
      <c r="B402" t="inlineStr">
        <is>
          <t>samrådsanmälan</t>
        </is>
      </c>
      <c r="C402" t="inlineStr">
        <is>
          <t>Annan skogsbruksåtgärd</t>
        </is>
      </c>
      <c r="D402" s="1" t="n">
        <v>46070</v>
      </c>
      <c r="E402" s="1" t="n">
        <v>46223</v>
      </c>
      <c r="F402" t="inlineStr">
        <is>
          <t>NORRBOTTENS LÄN</t>
        </is>
      </c>
      <c r="G402" t="inlineStr">
        <is>
          <t>ÄLVSBYN</t>
        </is>
      </c>
      <c r="I402" t="n">
        <v>3.8</v>
      </c>
      <c r="J402" t="n">
        <v>0</v>
      </c>
      <c r="K402" t="n">
        <v>0</v>
      </c>
      <c r="L402" t="n">
        <v>0</v>
      </c>
      <c r="M402" t="n">
        <v>0</v>
      </c>
      <c r="N402" t="n">
        <v>0</v>
      </c>
      <c r="O402" t="n">
        <v>0</v>
      </c>
      <c r="P402" t="n">
        <v>0</v>
      </c>
      <c r="Q402" t="n">
        <v>0</v>
      </c>
      <c r="R402" t="n">
        <v>0</v>
      </c>
      <c r="S402" t="n">
        <v>0</v>
      </c>
      <c r="T402" t="n">
        <v>0</v>
      </c>
      <c r="U402" s="2" t="inlineStr"/>
    </row>
    <row r="403" ht="15" customHeight="1">
      <c r="A403" t="inlineStr">
        <is>
          <t>S 1739-2026</t>
        </is>
      </c>
      <c r="B403" t="inlineStr">
        <is>
          <t>samrådsanmälan</t>
        </is>
      </c>
      <c r="C403" t="inlineStr">
        <is>
          <t>Skogsbilväg</t>
        </is>
      </c>
      <c r="D403" s="1" t="n">
        <v>46185</v>
      </c>
      <c r="E403" s="1" t="n">
        <v>46223</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S 1665-2026</t>
        </is>
      </c>
      <c r="B404" t="inlineStr">
        <is>
          <t>samrådsanmälan</t>
        </is>
      </c>
      <c r="C404" t="inlineStr">
        <is>
          <t>Skogsgödsling</t>
        </is>
      </c>
      <c r="D404" s="1" t="n">
        <v>46178</v>
      </c>
      <c r="E404" s="1" t="n">
        <v>46223</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S 1670-2026</t>
        </is>
      </c>
      <c r="B405" t="inlineStr">
        <is>
          <t>samrådsanmälan</t>
        </is>
      </c>
      <c r="C405" t="inlineStr">
        <is>
          <t>Skogsgödsling</t>
        </is>
      </c>
      <c r="D405" s="1" t="n">
        <v>46181</v>
      </c>
      <c r="E405" s="1" t="n">
        <v>46223</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S 1666-2026</t>
        </is>
      </c>
      <c r="B406" t="inlineStr">
        <is>
          <t>samrådsanmälan</t>
        </is>
      </c>
      <c r="C406" t="inlineStr">
        <is>
          <t>Skogsgödsling</t>
        </is>
      </c>
      <c r="D406" s="1" t="n">
        <v>46178</v>
      </c>
      <c r="E406" s="1" t="n">
        <v>46223</v>
      </c>
      <c r="F406" t="inlineStr">
        <is>
          <t>NORRBOTTENS LÄN</t>
        </is>
      </c>
      <c r="G406" t="inlineStr">
        <is>
          <t>ÄLVSBYN</t>
        </is>
      </c>
      <c r="I406" t="n">
        <v>14.2</v>
      </c>
      <c r="J406" t="n">
        <v>0</v>
      </c>
      <c r="K406" t="n">
        <v>0</v>
      </c>
      <c r="L406" t="n">
        <v>0</v>
      </c>
      <c r="M406" t="n">
        <v>0</v>
      </c>
      <c r="N406" t="n">
        <v>0</v>
      </c>
      <c r="O406" t="n">
        <v>0</v>
      </c>
      <c r="P406" t="n">
        <v>0</v>
      </c>
      <c r="Q406" t="n">
        <v>0</v>
      </c>
      <c r="R406" t="n">
        <v>0</v>
      </c>
      <c r="S406" t="n">
        <v>0</v>
      </c>
      <c r="T406" t="n">
        <v>0</v>
      </c>
      <c r="U406" s="2" t="inlineStr"/>
    </row>
    <row r="407">
      <c r="A407" t="inlineStr">
        <is>
          <t>S 1564-2026</t>
        </is>
      </c>
      <c r="B407" t="inlineStr">
        <is>
          <t>samrådsanmälan</t>
        </is>
      </c>
      <c r="C407" t="inlineStr">
        <is>
          <t>Skogsgödsling</t>
        </is>
      </c>
      <c r="D407" s="1" t="n">
        <v>46168</v>
      </c>
      <c r="E407" s="1" t="n">
        <v>46223</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2026-07-20T01:44:33Z</dcterms:created>
  <dcterms:modified xmlns:dcterms="http://purl.org/dc/terms/" xmlns:xsi="http://www.w3.org/2001/XMLSchema-instance" xsi:type="dcterms:W3CDTF">2026-07-20T01:44:34Z</dcterms:modified>
</cp:coreProperties>
</file>