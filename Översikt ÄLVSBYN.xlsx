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45766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45766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45766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45766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45766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45766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45766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45766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45766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45766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45766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45766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45766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45766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45766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45766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45766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45766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73616-2021</t>
        </is>
      </c>
      <c r="B20" s="1" t="n">
        <v>44552</v>
      </c>
      <c r="C20" s="1" t="n">
        <v>45766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44252-2024</t>
        </is>
      </c>
      <c r="B21" s="1" t="n">
        <v>45573</v>
      </c>
      <c r="C21" s="1" t="n">
        <v>45766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Orange taggsvamp
Dropptaggsvamp
Skarp dropptaggsvamp
Stuplav</t>
        </is>
      </c>
      <c r="S21">
        <f>HYPERLINK("https://klasma.github.io/Logging_2560/artfynd/A 44252-2024 artfynd.xlsx", "A 44252-2024")</f>
        <v/>
      </c>
      <c r="T21">
        <f>HYPERLINK("https://klasma.github.io/Logging_2560/kartor/A 44252-2024 karta.png", "A 44252-2024")</f>
        <v/>
      </c>
      <c r="V21">
        <f>HYPERLINK("https://klasma.github.io/Logging_2560/klagomål/A 44252-2024 FSC-klagomål.docx", "A 44252-2024")</f>
        <v/>
      </c>
      <c r="W21">
        <f>HYPERLINK("https://klasma.github.io/Logging_2560/klagomålsmail/A 44252-2024 FSC-klagomål mail.docx", "A 44252-2024")</f>
        <v/>
      </c>
      <c r="X21">
        <f>HYPERLINK("https://klasma.github.io/Logging_2560/tillsyn/A 44252-2024 tillsynsbegäran.docx", "A 44252-2024")</f>
        <v/>
      </c>
      <c r="Y21">
        <f>HYPERLINK("https://klasma.github.io/Logging_2560/tillsynsmail/A 44252-2024 tillsynsbegäran mail.docx", "A 44252-2024")</f>
        <v/>
      </c>
    </row>
    <row r="22" ht="15" customHeight="1">
      <c r="A22" t="inlineStr">
        <is>
          <t>A 55870-2024</t>
        </is>
      </c>
      <c r="B22" s="1" t="n">
        <v>45622</v>
      </c>
      <c r="C22" s="1" t="n">
        <v>45766</v>
      </c>
      <c r="D22" t="inlineStr">
        <is>
          <t>NORRBOTTENS LÄN</t>
        </is>
      </c>
      <c r="E22" t="inlineStr">
        <is>
          <t>ÄLVSBYN</t>
        </is>
      </c>
      <c r="G22" t="n">
        <v>20</v>
      </c>
      <c r="H22" t="n">
        <v>3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Lappranunkel
Spindelblomster
Spädstarr</t>
        </is>
      </c>
      <c r="S22">
        <f>HYPERLINK("https://klasma.github.io/Logging_2560/artfynd/A 55870-2024 artfynd.xlsx", "A 55870-2024")</f>
        <v/>
      </c>
      <c r="T22">
        <f>HYPERLINK("https://klasma.github.io/Logging_2560/kartor/A 55870-2024 karta.png", "A 55870-2024")</f>
        <v/>
      </c>
      <c r="U22">
        <f>HYPERLINK("https://klasma.github.io/Logging_2560/knärot/A 55870-2024 karta knärot.png", "A 55870-2024")</f>
        <v/>
      </c>
      <c r="V22">
        <f>HYPERLINK("https://klasma.github.io/Logging_2560/klagomål/A 55870-2024 FSC-klagomål.docx", "A 55870-2024")</f>
        <v/>
      </c>
      <c r="W22">
        <f>HYPERLINK("https://klasma.github.io/Logging_2560/klagomålsmail/A 55870-2024 FSC-klagomål mail.docx", "A 55870-2024")</f>
        <v/>
      </c>
      <c r="X22">
        <f>HYPERLINK("https://klasma.github.io/Logging_2560/tillsyn/A 55870-2024 tillsynsbegäran.docx", "A 55870-2024")</f>
        <v/>
      </c>
      <c r="Y22">
        <f>HYPERLINK("https://klasma.github.io/Logging_2560/tillsynsmail/A 55870-2024 tillsynsbegäran mail.docx", "A 55870-2024")</f>
        <v/>
      </c>
    </row>
    <row r="23" ht="15" customHeight="1">
      <c r="A23" t="inlineStr">
        <is>
          <t>A 3752-2023</t>
        </is>
      </c>
      <c r="B23" s="1" t="n">
        <v>44949</v>
      </c>
      <c r="C23" s="1" t="n">
        <v>45766</v>
      </c>
      <c r="D23" t="inlineStr">
        <is>
          <t>NORRBOTTENS LÄN</t>
        </is>
      </c>
      <c r="E23" t="inlineStr">
        <is>
          <t>ÄLVSBYN</t>
        </is>
      </c>
      <c r="G23" t="n">
        <v>3.7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Tretåig hackspett
Ullticka</t>
        </is>
      </c>
      <c r="S23">
        <f>HYPERLINK("https://klasma.github.io/Logging_2560/artfynd/A 3752-2023 artfynd.xlsx", "A 3752-2023")</f>
        <v/>
      </c>
      <c r="T23">
        <f>HYPERLINK("https://klasma.github.io/Logging_2560/kartor/A 3752-2023 karta.png", "A 3752-2023")</f>
        <v/>
      </c>
      <c r="V23">
        <f>HYPERLINK("https://klasma.github.io/Logging_2560/klagomål/A 3752-2023 FSC-klagomål.docx", "A 3752-2023")</f>
        <v/>
      </c>
      <c r="W23">
        <f>HYPERLINK("https://klasma.github.io/Logging_2560/klagomålsmail/A 3752-2023 FSC-klagomål mail.docx", "A 3752-2023")</f>
        <v/>
      </c>
      <c r="X23">
        <f>HYPERLINK("https://klasma.github.io/Logging_2560/tillsyn/A 3752-2023 tillsynsbegäran.docx", "A 3752-2023")</f>
        <v/>
      </c>
      <c r="Y23">
        <f>HYPERLINK("https://klasma.github.io/Logging_2560/tillsynsmail/A 3752-2023 tillsynsbegäran mail.docx", "A 3752-2023")</f>
        <v/>
      </c>
      <c r="Z23">
        <f>HYPERLINK("https://klasma.github.io/Logging_2560/fåglar/A 3752-2023 prioriterade fågelarter.docx", "A 3752-2023")</f>
        <v/>
      </c>
    </row>
    <row r="24" ht="15" customHeight="1">
      <c r="A24" t="inlineStr">
        <is>
          <t>A 28088-2023</t>
        </is>
      </c>
      <c r="B24" s="1" t="n">
        <v>45099</v>
      </c>
      <c r="C24" s="1" t="n">
        <v>45766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5.6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Fläckporing
Kolflarnlav
Lunglav</t>
        </is>
      </c>
      <c r="S24">
        <f>HYPERLINK("https://klasma.github.io/Logging_2560/artfynd/A 28088-2023 artfynd.xlsx", "A 28088-2023")</f>
        <v/>
      </c>
      <c r="T24">
        <f>HYPERLINK("https://klasma.github.io/Logging_2560/kartor/A 28088-2023 karta.png", "A 28088-2023")</f>
        <v/>
      </c>
      <c r="V24">
        <f>HYPERLINK("https://klasma.github.io/Logging_2560/klagomål/A 28088-2023 FSC-klagomål.docx", "A 28088-2023")</f>
        <v/>
      </c>
      <c r="W24">
        <f>HYPERLINK("https://klasma.github.io/Logging_2560/klagomålsmail/A 28088-2023 FSC-klagomål mail.docx", "A 28088-2023")</f>
        <v/>
      </c>
      <c r="X24">
        <f>HYPERLINK("https://klasma.github.io/Logging_2560/tillsyn/A 28088-2023 tillsynsbegäran.docx", "A 28088-2023")</f>
        <v/>
      </c>
      <c r="Y24">
        <f>HYPERLINK("https://klasma.github.io/Logging_2560/tillsynsmail/A 28088-2023 tillsynsbegäran mail.docx", "A 28088-2023")</f>
        <v/>
      </c>
    </row>
    <row r="25" ht="15" customHeight="1">
      <c r="A25" t="inlineStr">
        <is>
          <t>A 47132-2023</t>
        </is>
      </c>
      <c r="B25" s="1" t="n">
        <v>45201</v>
      </c>
      <c r="C25" s="1" t="n">
        <v>45766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4.1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Motaggsvamp
Skrovlig taggsvamp
Tallriska</t>
        </is>
      </c>
      <c r="S25">
        <f>HYPERLINK("https://klasma.github.io/Logging_2560/artfynd/A 47132-2023 artfynd.xlsx", "A 47132-2023")</f>
        <v/>
      </c>
      <c r="T25">
        <f>HYPERLINK("https://klasma.github.io/Logging_2560/kartor/A 47132-2023 karta.png", "A 47132-2023")</f>
        <v/>
      </c>
      <c r="V25">
        <f>HYPERLINK("https://klasma.github.io/Logging_2560/klagomål/A 47132-2023 FSC-klagomål.docx", "A 47132-2023")</f>
        <v/>
      </c>
      <c r="W25">
        <f>HYPERLINK("https://klasma.github.io/Logging_2560/klagomålsmail/A 47132-2023 FSC-klagomål mail.docx", "A 47132-2023")</f>
        <v/>
      </c>
      <c r="X25">
        <f>HYPERLINK("https://klasma.github.io/Logging_2560/tillsyn/A 47132-2023 tillsynsbegäran.docx", "A 47132-2023")</f>
        <v/>
      </c>
      <c r="Y25">
        <f>HYPERLINK("https://klasma.github.io/Logging_2560/tillsynsmail/A 47132-2023 tillsynsbegäran mail.docx", "A 47132-2023")</f>
        <v/>
      </c>
    </row>
    <row r="26" ht="15" customHeight="1">
      <c r="A26" t="inlineStr">
        <is>
          <t>A 59618-2023</t>
        </is>
      </c>
      <c r="B26" s="1" t="n">
        <v>45254</v>
      </c>
      <c r="C26" s="1" t="n">
        <v>45766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Svart taggsvamp
Dropptaggsvamp</t>
        </is>
      </c>
      <c r="S26">
        <f>HYPERLINK("https://klasma.github.io/Logging_2560/artfynd/A 59618-2023 artfynd.xlsx", "A 59618-2023")</f>
        <v/>
      </c>
      <c r="T26">
        <f>HYPERLINK("https://klasma.github.io/Logging_2560/kartor/A 59618-2023 karta.png", "A 59618-2023")</f>
        <v/>
      </c>
      <c r="V26">
        <f>HYPERLINK("https://klasma.github.io/Logging_2560/klagomål/A 59618-2023 FSC-klagomål.docx", "A 59618-2023")</f>
        <v/>
      </c>
      <c r="W26">
        <f>HYPERLINK("https://klasma.github.io/Logging_2560/klagomålsmail/A 59618-2023 FSC-klagomål mail.docx", "A 59618-2023")</f>
        <v/>
      </c>
      <c r="X26">
        <f>HYPERLINK("https://klasma.github.io/Logging_2560/tillsyn/A 59618-2023 tillsynsbegäran.docx", "A 59618-2023")</f>
        <v/>
      </c>
      <c r="Y26">
        <f>HYPERLINK("https://klasma.github.io/Logging_2560/tillsynsmail/A 59618-2023 tillsynsbegäran mail.docx", "A 59618-2023")</f>
        <v/>
      </c>
    </row>
    <row r="27" ht="15" customHeight="1">
      <c r="A27" t="inlineStr">
        <is>
          <t>A 44255-2024</t>
        </is>
      </c>
      <c r="B27" s="1" t="n">
        <v>45573</v>
      </c>
      <c r="C27" s="1" t="n">
        <v>45766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6.5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Lunglav
Rosenticka</t>
        </is>
      </c>
      <c r="S27">
        <f>HYPERLINK("https://klasma.github.io/Logging_2560/artfynd/A 44255-2024 artfynd.xlsx", "A 44255-2024")</f>
        <v/>
      </c>
      <c r="T27">
        <f>HYPERLINK("https://klasma.github.io/Logging_2560/kartor/A 44255-2024 karta.png", "A 44255-2024")</f>
        <v/>
      </c>
      <c r="V27">
        <f>HYPERLINK("https://klasma.github.io/Logging_2560/klagomål/A 44255-2024 FSC-klagomål.docx", "A 44255-2024")</f>
        <v/>
      </c>
      <c r="W27">
        <f>HYPERLINK("https://klasma.github.io/Logging_2560/klagomålsmail/A 44255-2024 FSC-klagomål mail.docx", "A 44255-2024")</f>
        <v/>
      </c>
      <c r="X27">
        <f>HYPERLINK("https://klasma.github.io/Logging_2560/tillsyn/A 44255-2024 tillsynsbegäran.docx", "A 44255-2024")</f>
        <v/>
      </c>
      <c r="Y27">
        <f>HYPERLINK("https://klasma.github.io/Logging_2560/tillsynsmail/A 44255-2024 tillsynsbegäran mail.docx", "A 44255-2024")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45766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45766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50156-2024</t>
        </is>
      </c>
      <c r="B30" s="1" t="n">
        <v>45600</v>
      </c>
      <c r="C30" s="1" t="n">
        <v>45766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9.9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Vaddporing
Dropptaggsvamp</t>
        </is>
      </c>
      <c r="S30">
        <f>HYPERLINK("https://klasma.github.io/Logging_2560/artfynd/A 50156-2024 artfynd.xlsx", "A 50156-2024")</f>
        <v/>
      </c>
      <c r="T30">
        <f>HYPERLINK("https://klasma.github.io/Logging_2560/kartor/A 50156-2024 karta.png", "A 50156-2024")</f>
        <v/>
      </c>
      <c r="V30">
        <f>HYPERLINK("https://klasma.github.io/Logging_2560/klagomål/A 50156-2024 FSC-klagomål.docx", "A 50156-2024")</f>
        <v/>
      </c>
      <c r="W30">
        <f>HYPERLINK("https://klasma.github.io/Logging_2560/klagomålsmail/A 50156-2024 FSC-klagomål mail.docx", "A 50156-2024")</f>
        <v/>
      </c>
      <c r="X30">
        <f>HYPERLINK("https://klasma.github.io/Logging_2560/tillsyn/A 50156-2024 tillsynsbegäran.docx", "A 50156-2024")</f>
        <v/>
      </c>
      <c r="Y30">
        <f>HYPERLINK("https://klasma.github.io/Logging_2560/tillsynsmail/A 50156-2024 tillsynsbegäran mail.docx", "A 50156-2024")</f>
        <v/>
      </c>
    </row>
    <row r="31" ht="15" customHeight="1">
      <c r="A31" t="inlineStr">
        <is>
          <t>A 55503-2024</t>
        </is>
      </c>
      <c r="B31" s="1" t="n">
        <v>45622</v>
      </c>
      <c r="C31" s="1" t="n">
        <v>45766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5.2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Vedflamlav
Dropptaggsvamp
Stuplav</t>
        </is>
      </c>
      <c r="S31">
        <f>HYPERLINK("https://klasma.github.io/Logging_2560/artfynd/A 55503-2024 artfynd.xlsx", "A 55503-2024")</f>
        <v/>
      </c>
      <c r="T31">
        <f>HYPERLINK("https://klasma.github.io/Logging_2560/kartor/A 55503-2024 karta.png", "A 55503-2024")</f>
        <v/>
      </c>
      <c r="V31">
        <f>HYPERLINK("https://klasma.github.io/Logging_2560/klagomål/A 55503-2024 FSC-klagomål.docx", "A 55503-2024")</f>
        <v/>
      </c>
      <c r="W31">
        <f>HYPERLINK("https://klasma.github.io/Logging_2560/klagomålsmail/A 55503-2024 FSC-klagomål mail.docx", "A 55503-2024")</f>
        <v/>
      </c>
      <c r="X31">
        <f>HYPERLINK("https://klasma.github.io/Logging_2560/tillsyn/A 55503-2024 tillsynsbegäran.docx", "A 55503-2024")</f>
        <v/>
      </c>
      <c r="Y31">
        <f>HYPERLINK("https://klasma.github.io/Logging_2560/tillsynsmail/A 55503-2024 tillsynsbegäran mail.docx", "A 55503-2024")</f>
        <v/>
      </c>
    </row>
    <row r="32" ht="15" customHeight="1">
      <c r="A32" t="inlineStr">
        <is>
          <t>A 8612-2020</t>
        </is>
      </c>
      <c r="B32" s="1" t="n">
        <v>43875</v>
      </c>
      <c r="C32" s="1" t="n">
        <v>45766</v>
      </c>
      <c r="D32" t="inlineStr">
        <is>
          <t>NORRBOTTENS LÄN</t>
        </is>
      </c>
      <c r="E32" t="inlineStr">
        <is>
          <t>ÄLVSBYN</t>
        </is>
      </c>
      <c r="G32" t="n">
        <v>1</v>
      </c>
      <c r="H32" t="n">
        <v>0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Rotfingersvamp
Smalfotad taggsvamp</t>
        </is>
      </c>
      <c r="S32">
        <f>HYPERLINK("https://klasma.github.io/Logging_2560/artfynd/A 8612-2020 artfynd.xlsx", "A 8612-2020")</f>
        <v/>
      </c>
      <c r="T32">
        <f>HYPERLINK("https://klasma.github.io/Logging_2560/kartor/A 8612-2020 karta.png", "A 8612-2020")</f>
        <v/>
      </c>
      <c r="V32">
        <f>HYPERLINK("https://klasma.github.io/Logging_2560/klagomål/A 8612-2020 FSC-klagomål.docx", "A 8612-2020")</f>
        <v/>
      </c>
      <c r="W32">
        <f>HYPERLINK("https://klasma.github.io/Logging_2560/klagomålsmail/A 8612-2020 FSC-klagomål mail.docx", "A 8612-2020")</f>
        <v/>
      </c>
      <c r="X32">
        <f>HYPERLINK("https://klasma.github.io/Logging_2560/tillsyn/A 8612-2020 tillsynsbegäran.docx", "A 8612-2020")</f>
        <v/>
      </c>
      <c r="Y32">
        <f>HYPERLINK("https://klasma.github.io/Logging_2560/tillsynsmail/A 8612-2020 tillsynsbegäran mail.docx", "A 8612-2020")</f>
        <v/>
      </c>
    </row>
    <row r="33" ht="15" customHeight="1">
      <c r="A33" t="inlineStr">
        <is>
          <t>A 52177-2021</t>
        </is>
      </c>
      <c r="B33" s="1" t="n">
        <v>44463</v>
      </c>
      <c r="C33" s="1" t="n">
        <v>45766</v>
      </c>
      <c r="D33" t="inlineStr">
        <is>
          <t>NORRBOTTENS LÄN</t>
        </is>
      </c>
      <c r="E33" t="inlineStr">
        <is>
          <t>ÄLVSBYN</t>
        </is>
      </c>
      <c r="G33" t="n">
        <v>36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HYPERLINK("https://klasma.github.io/Logging_2560/artfynd/A 52177-2021 artfynd.xlsx", "A 52177-2021")</f>
        <v/>
      </c>
      <c r="T33">
        <f>HYPERLINK("https://klasma.github.io/Logging_2560/kartor/A 52177-2021 karta.png", "A 52177-2021")</f>
        <v/>
      </c>
      <c r="V33">
        <f>HYPERLINK("https://klasma.github.io/Logging_2560/klagomål/A 52177-2021 FSC-klagomål.docx", "A 52177-2021")</f>
        <v/>
      </c>
      <c r="W33">
        <f>HYPERLINK("https://klasma.github.io/Logging_2560/klagomålsmail/A 52177-2021 FSC-klagomål mail.docx", "A 52177-2021")</f>
        <v/>
      </c>
      <c r="X33">
        <f>HYPERLINK("https://klasma.github.io/Logging_2560/tillsyn/A 52177-2021 tillsynsbegäran.docx", "A 52177-2021")</f>
        <v/>
      </c>
      <c r="Y33">
        <f>HYPERLINK("https://klasma.github.io/Logging_2560/tillsynsmail/A 52177-2021 tillsynsbegäran mail.docx", "A 52177-2021")</f>
        <v/>
      </c>
      <c r="Z33">
        <f>HYPERLINK("https://klasma.github.io/Logging_2560/fåglar/A 52177-2021 prioriterade fågelarter.docx", "A 52177-2021")</f>
        <v/>
      </c>
    </row>
    <row r="34" ht="15" customHeight="1">
      <c r="A34" t="inlineStr">
        <is>
          <t>A 52513-2022</t>
        </is>
      </c>
      <c r="B34" s="1" t="n">
        <v>44874</v>
      </c>
      <c r="C34" s="1" t="n">
        <v>45766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Lunglav</t>
        </is>
      </c>
      <c r="S34">
        <f>HYPERLINK("https://klasma.github.io/Logging_2560/artfynd/A 52513-2022 artfynd.xlsx", "A 52513-2022")</f>
        <v/>
      </c>
      <c r="T34">
        <f>HYPERLINK("https://klasma.github.io/Logging_2560/kartor/A 52513-2022 karta.png", "A 52513-2022")</f>
        <v/>
      </c>
      <c r="V34">
        <f>HYPERLINK("https://klasma.github.io/Logging_2560/klagomål/A 52513-2022 FSC-klagomål.docx", "A 52513-2022")</f>
        <v/>
      </c>
      <c r="W34">
        <f>HYPERLINK("https://klasma.github.io/Logging_2560/klagomålsmail/A 52513-2022 FSC-klagomål mail.docx", "A 52513-2022")</f>
        <v/>
      </c>
      <c r="X34">
        <f>HYPERLINK("https://klasma.github.io/Logging_2560/tillsyn/A 52513-2022 tillsynsbegäran.docx", "A 52513-2022")</f>
        <v/>
      </c>
      <c r="Y34">
        <f>HYPERLINK("https://klasma.github.io/Logging_2560/tillsynsmail/A 52513-2022 tillsynsbegäran mail.docx", "A 52513-2022")</f>
        <v/>
      </c>
    </row>
    <row r="35" ht="15" customHeight="1">
      <c r="A35" t="inlineStr">
        <is>
          <t>A 29877-2023</t>
        </is>
      </c>
      <c r="B35" s="1" t="n">
        <v>45107</v>
      </c>
      <c r="C35" s="1" t="n">
        <v>45766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8.300000000000001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Lunglav</t>
        </is>
      </c>
      <c r="S35">
        <f>HYPERLINK("https://klasma.github.io/Logging_2560/artfynd/A 29877-2023 artfynd.xlsx", "A 29877-2023")</f>
        <v/>
      </c>
      <c r="T35">
        <f>HYPERLINK("https://klasma.github.io/Logging_2560/kartor/A 29877-2023 karta.png", "A 29877-2023")</f>
        <v/>
      </c>
      <c r="V35">
        <f>HYPERLINK("https://klasma.github.io/Logging_2560/klagomål/A 29877-2023 FSC-klagomål.docx", "A 29877-2023")</f>
        <v/>
      </c>
      <c r="W35">
        <f>HYPERLINK("https://klasma.github.io/Logging_2560/klagomålsmail/A 29877-2023 FSC-klagomål mail.docx", "A 29877-2023")</f>
        <v/>
      </c>
      <c r="X35">
        <f>HYPERLINK("https://klasma.github.io/Logging_2560/tillsyn/A 29877-2023 tillsynsbegäran.docx", "A 29877-2023")</f>
        <v/>
      </c>
      <c r="Y35">
        <f>HYPERLINK("https://klasma.github.io/Logging_2560/tillsynsmail/A 29877-2023 tillsynsbegäran mail.docx", "A 29877-2023")</f>
        <v/>
      </c>
    </row>
    <row r="36" ht="15" customHeight="1">
      <c r="A36" t="inlineStr">
        <is>
          <t>A 47131-2023</t>
        </is>
      </c>
      <c r="B36" s="1" t="n">
        <v>45201</v>
      </c>
      <c r="C36" s="1" t="n">
        <v>45766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Lunglav
Tallriska</t>
        </is>
      </c>
      <c r="S36">
        <f>HYPERLINK("https://klasma.github.io/Logging_2560/artfynd/A 47131-2023 artfynd.xlsx", "A 47131-2023")</f>
        <v/>
      </c>
      <c r="T36">
        <f>HYPERLINK("https://klasma.github.io/Logging_2560/kartor/A 47131-2023 karta.png", "A 47131-2023")</f>
        <v/>
      </c>
      <c r="V36">
        <f>HYPERLINK("https://klasma.github.io/Logging_2560/klagomål/A 47131-2023 FSC-klagomål.docx", "A 47131-2023")</f>
        <v/>
      </c>
      <c r="W36">
        <f>HYPERLINK("https://klasma.github.io/Logging_2560/klagomålsmail/A 47131-2023 FSC-klagomål mail.docx", "A 47131-2023")</f>
        <v/>
      </c>
      <c r="X36">
        <f>HYPERLINK("https://klasma.github.io/Logging_2560/tillsyn/A 47131-2023 tillsynsbegäran.docx", "A 47131-2023")</f>
        <v/>
      </c>
      <c r="Y36">
        <f>HYPERLINK("https://klasma.github.io/Logging_2560/tillsynsmail/A 47131-2023 tillsynsbegäran mail.docx", "A 47131-2023")</f>
        <v/>
      </c>
    </row>
    <row r="37" ht="15" customHeight="1">
      <c r="A37" t="inlineStr">
        <is>
          <t>A 569-2024</t>
        </is>
      </c>
      <c r="B37" s="1" t="n">
        <v>45299</v>
      </c>
      <c r="C37" s="1" t="n">
        <v>45766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Skarp dropptaggsvamp</t>
        </is>
      </c>
      <c r="S37">
        <f>HYPERLINK("https://klasma.github.io/Logging_2560/artfynd/A 569-2024 artfynd.xlsx", "A 569-2024")</f>
        <v/>
      </c>
      <c r="T37">
        <f>HYPERLINK("https://klasma.github.io/Logging_2560/kartor/A 569-2024 karta.png", "A 569-2024")</f>
        <v/>
      </c>
      <c r="V37">
        <f>HYPERLINK("https://klasma.github.io/Logging_2560/klagomål/A 569-2024 FSC-klagomål.docx", "A 569-2024")</f>
        <v/>
      </c>
      <c r="W37">
        <f>HYPERLINK("https://klasma.github.io/Logging_2560/klagomålsmail/A 569-2024 FSC-klagomål mail.docx", "A 569-2024")</f>
        <v/>
      </c>
      <c r="X37">
        <f>HYPERLINK("https://klasma.github.io/Logging_2560/tillsyn/A 569-2024 tillsynsbegäran.docx", "A 569-2024")</f>
        <v/>
      </c>
      <c r="Y37">
        <f>HYPERLINK("https://klasma.github.io/Logging_2560/tillsynsmail/A 569-2024 tillsynsbegäran mail.docx", "A 569-2024")</f>
        <v/>
      </c>
    </row>
    <row r="38" ht="15" customHeight="1">
      <c r="A38" t="inlineStr">
        <is>
          <t>A 16255-2024</t>
        </is>
      </c>
      <c r="B38" s="1" t="n">
        <v>45407</v>
      </c>
      <c r="C38" s="1" t="n">
        <v>45766</v>
      </c>
      <c r="D38" t="inlineStr">
        <is>
          <t>NORRBOTTENS LÄN</t>
        </is>
      </c>
      <c r="E38" t="inlineStr">
        <is>
          <t>ÄLVSBYN</t>
        </is>
      </c>
      <c r="F38" t="inlineStr">
        <is>
          <t>SCA</t>
        </is>
      </c>
      <c r="G38" t="n">
        <v>18.5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Lappranunkel</t>
        </is>
      </c>
      <c r="S38">
        <f>HYPERLINK("https://klasma.github.io/Logging_2560/artfynd/A 16255-2024 artfynd.xlsx", "A 16255-2024")</f>
        <v/>
      </c>
      <c r="T38">
        <f>HYPERLINK("https://klasma.github.io/Logging_2560/kartor/A 16255-2024 karta.png", "A 16255-2024")</f>
        <v/>
      </c>
      <c r="V38">
        <f>HYPERLINK("https://klasma.github.io/Logging_2560/klagomål/A 16255-2024 FSC-klagomål.docx", "A 16255-2024")</f>
        <v/>
      </c>
      <c r="W38">
        <f>HYPERLINK("https://klasma.github.io/Logging_2560/klagomålsmail/A 16255-2024 FSC-klagomål mail.docx", "A 16255-2024")</f>
        <v/>
      </c>
      <c r="X38">
        <f>HYPERLINK("https://klasma.github.io/Logging_2560/tillsyn/A 16255-2024 tillsynsbegäran.docx", "A 16255-2024")</f>
        <v/>
      </c>
      <c r="Y38">
        <f>HYPERLINK("https://klasma.github.io/Logging_2560/tillsynsmail/A 16255-2024 tillsynsbegäran mail.docx", "A 16255-2024")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45766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45766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32818-2024</t>
        </is>
      </c>
      <c r="B41" s="1" t="n">
        <v>45516</v>
      </c>
      <c r="C41" s="1" t="n">
        <v>45766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7.6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32818-2024 artfynd.xlsx", "A 32818-2024")</f>
        <v/>
      </c>
      <c r="T41">
        <f>HYPERLINK("https://klasma.github.io/Logging_2560/kartor/A 32818-2024 karta.png", "A 32818-2024")</f>
        <v/>
      </c>
      <c r="V41">
        <f>HYPERLINK("https://klasma.github.io/Logging_2560/klagomål/A 32818-2024 FSC-klagomål.docx", "A 32818-2024")</f>
        <v/>
      </c>
      <c r="W41">
        <f>HYPERLINK("https://klasma.github.io/Logging_2560/klagomålsmail/A 32818-2024 FSC-klagomål mail.docx", "A 32818-2024")</f>
        <v/>
      </c>
      <c r="X41">
        <f>HYPERLINK("https://klasma.github.io/Logging_2560/tillsyn/A 32818-2024 tillsynsbegäran.docx", "A 32818-2024")</f>
        <v/>
      </c>
      <c r="Y41">
        <f>HYPERLINK("https://klasma.github.io/Logging_2560/tillsynsmail/A 32818-2024 tillsynsbegäran mail.docx", "A 32818-2024")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45766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45314-2024</t>
        </is>
      </c>
      <c r="B43" s="1" t="n">
        <v>45576</v>
      </c>
      <c r="C43" s="1" t="n">
        <v>45766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Orange taggsvamp
Dropptaggsvamp</t>
        </is>
      </c>
      <c r="S43">
        <f>HYPERLINK("https://klasma.github.io/Logging_2560/artfynd/A 45314-2024 artfynd.xlsx", "A 45314-2024")</f>
        <v/>
      </c>
      <c r="T43">
        <f>HYPERLINK("https://klasma.github.io/Logging_2560/kartor/A 45314-2024 karta.png", "A 45314-2024")</f>
        <v/>
      </c>
      <c r="V43">
        <f>HYPERLINK("https://klasma.github.io/Logging_2560/klagomål/A 45314-2024 FSC-klagomål.docx", "A 45314-2024")</f>
        <v/>
      </c>
      <c r="W43">
        <f>HYPERLINK("https://klasma.github.io/Logging_2560/klagomålsmail/A 45314-2024 FSC-klagomål mail.docx", "A 45314-2024")</f>
        <v/>
      </c>
      <c r="X43">
        <f>HYPERLINK("https://klasma.github.io/Logging_2560/tillsyn/A 45314-2024 tillsynsbegäran.docx", "A 45314-2024")</f>
        <v/>
      </c>
      <c r="Y43">
        <f>HYPERLINK("https://klasma.github.io/Logging_2560/tillsynsmail/A 45314-2024 tillsynsbegäran mail.docx", "A 45314-2024")</f>
        <v/>
      </c>
    </row>
    <row r="44" ht="15" customHeight="1">
      <c r="A44" t="inlineStr">
        <is>
          <t>A 45317-2024</t>
        </is>
      </c>
      <c r="B44" s="1" t="n">
        <v>45576</v>
      </c>
      <c r="C44" s="1" t="n">
        <v>45766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Skarp dropptaggsvamp</t>
        </is>
      </c>
      <c r="S44">
        <f>HYPERLINK("https://klasma.github.io/Logging_2560/artfynd/A 45317-2024 artfynd.xlsx", "A 45317-2024")</f>
        <v/>
      </c>
      <c r="T44">
        <f>HYPERLINK("https://klasma.github.io/Logging_2560/kartor/A 45317-2024 karta.png", "A 45317-2024")</f>
        <v/>
      </c>
      <c r="V44">
        <f>HYPERLINK("https://klasma.github.io/Logging_2560/klagomål/A 45317-2024 FSC-klagomål.docx", "A 45317-2024")</f>
        <v/>
      </c>
      <c r="W44">
        <f>HYPERLINK("https://klasma.github.io/Logging_2560/klagomålsmail/A 45317-2024 FSC-klagomål mail.docx", "A 45317-2024")</f>
        <v/>
      </c>
      <c r="X44">
        <f>HYPERLINK("https://klasma.github.io/Logging_2560/tillsyn/A 45317-2024 tillsynsbegäran.docx", "A 45317-2024")</f>
        <v/>
      </c>
      <c r="Y44">
        <f>HYPERLINK("https://klasma.github.io/Logging_2560/tillsynsmail/A 45317-2024 tillsynsbegäran mail.docx", "A 45317-2024")</f>
        <v/>
      </c>
    </row>
    <row r="45" ht="15" customHeight="1">
      <c r="A45" t="inlineStr">
        <is>
          <t>A 55038-2024</t>
        </is>
      </c>
      <c r="B45" s="1" t="n">
        <v>45621</v>
      </c>
      <c r="C45" s="1" t="n">
        <v>45766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55038-2024 artfynd.xlsx", "A 55038-2024")</f>
        <v/>
      </c>
      <c r="T45">
        <f>HYPERLINK("https://klasma.github.io/Logging_2560/kartor/A 55038-2024 karta.png", "A 55038-2024")</f>
        <v/>
      </c>
      <c r="V45">
        <f>HYPERLINK("https://klasma.github.io/Logging_2560/klagomål/A 55038-2024 FSC-klagomål.docx", "A 55038-2024")</f>
        <v/>
      </c>
      <c r="W45">
        <f>HYPERLINK("https://klasma.github.io/Logging_2560/klagomålsmail/A 55038-2024 FSC-klagomål mail.docx", "A 55038-2024")</f>
        <v/>
      </c>
      <c r="X45">
        <f>HYPERLINK("https://klasma.github.io/Logging_2560/tillsyn/A 55038-2024 tillsynsbegäran.docx", "A 55038-2024")</f>
        <v/>
      </c>
      <c r="Y45">
        <f>HYPERLINK("https://klasma.github.io/Logging_2560/tillsynsmail/A 55038-2024 tillsynsbegäran mail.docx", "A 55038-2024")</f>
        <v/>
      </c>
    </row>
    <row r="46" ht="15" customHeight="1">
      <c r="A46" t="inlineStr">
        <is>
          <t>A 51078-2019</t>
        </is>
      </c>
      <c r="B46" s="1" t="n">
        <v>43739</v>
      </c>
      <c r="C46" s="1" t="n">
        <v>45766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HYPERLINK("https://klasma.github.io/Logging_2560/artfynd/A 51078-2019 artfynd.xlsx", "A 51078-2019")</f>
        <v/>
      </c>
      <c r="T46">
        <f>HYPERLINK("https://klasma.github.io/Logging_2560/kartor/A 51078-2019 karta.png", "A 51078-2019")</f>
        <v/>
      </c>
      <c r="V46">
        <f>HYPERLINK("https://klasma.github.io/Logging_2560/klagomål/A 51078-2019 FSC-klagomål.docx", "A 51078-2019")</f>
        <v/>
      </c>
      <c r="W46">
        <f>HYPERLINK("https://klasma.github.io/Logging_2560/klagomålsmail/A 51078-2019 FSC-klagomål mail.docx", "A 51078-2019")</f>
        <v/>
      </c>
      <c r="X46">
        <f>HYPERLINK("https://klasma.github.io/Logging_2560/tillsyn/A 51078-2019 tillsynsbegäran.docx", "A 51078-2019")</f>
        <v/>
      </c>
      <c r="Y46">
        <f>HYPERLINK("https://klasma.github.io/Logging_2560/tillsynsmail/A 51078-2019 tillsynsbegäran mail.docx", "A 51078-2019")</f>
        <v/>
      </c>
      <c r="Z46">
        <f>HYPERLINK("https://klasma.github.io/Logging_2560/fåglar/A 51078-2019 prioriterade fågelarter.docx", "A 51078-2019")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45766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16470-2022</t>
        </is>
      </c>
      <c r="B48" s="1" t="n">
        <v>44671</v>
      </c>
      <c r="C48" s="1" t="n">
        <v>45766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HYPERLINK("https://klasma.github.io/Logging_2560/artfynd/A 16470-2022 artfynd.xlsx", "A 16470-2022")</f>
        <v/>
      </c>
      <c r="T48">
        <f>HYPERLINK("https://klasma.github.io/Logging_2560/kartor/A 16470-2022 karta.png", "A 16470-2022")</f>
        <v/>
      </c>
      <c r="V48">
        <f>HYPERLINK("https://klasma.github.io/Logging_2560/klagomål/A 16470-2022 FSC-klagomål.docx", "A 16470-2022")</f>
        <v/>
      </c>
      <c r="W48">
        <f>HYPERLINK("https://klasma.github.io/Logging_2560/klagomålsmail/A 16470-2022 FSC-klagomål mail.docx", "A 16470-2022")</f>
        <v/>
      </c>
      <c r="X48">
        <f>HYPERLINK("https://klasma.github.io/Logging_2560/tillsyn/A 16470-2022 tillsynsbegäran.docx", "A 16470-2022")</f>
        <v/>
      </c>
      <c r="Y48">
        <f>HYPERLINK("https://klasma.github.io/Logging_2560/tillsynsmail/A 16470-2022 tillsynsbegäran mail.docx", "A 16470-2022")</f>
        <v/>
      </c>
    </row>
    <row r="49" ht="15" customHeight="1">
      <c r="A49" t="inlineStr">
        <is>
          <t>A 34022-2022</t>
        </is>
      </c>
      <c r="B49" s="1" t="n">
        <v>44791</v>
      </c>
      <c r="C49" s="1" t="n">
        <v>45766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34022-2022 artfynd.xlsx", "A 34022-2022")</f>
        <v/>
      </c>
      <c r="T49">
        <f>HYPERLINK("https://klasma.github.io/Logging_2560/kartor/A 34022-2022 karta.png", "A 34022-2022")</f>
        <v/>
      </c>
      <c r="V49">
        <f>HYPERLINK("https://klasma.github.io/Logging_2560/klagomål/A 34022-2022 FSC-klagomål.docx", "A 34022-2022")</f>
        <v/>
      </c>
      <c r="W49">
        <f>HYPERLINK("https://klasma.github.io/Logging_2560/klagomålsmail/A 34022-2022 FSC-klagomål mail.docx", "A 34022-2022")</f>
        <v/>
      </c>
      <c r="X49">
        <f>HYPERLINK("https://klasma.github.io/Logging_2560/tillsyn/A 34022-2022 tillsynsbegäran.docx", "A 34022-2022")</f>
        <v/>
      </c>
      <c r="Y49">
        <f>HYPERLINK("https://klasma.github.io/Logging_2560/tillsynsmail/A 34022-2022 tillsynsbegäran mail.docx", "A 34022-2022")</f>
        <v/>
      </c>
    </row>
    <row r="50" ht="15" customHeight="1">
      <c r="A50" t="inlineStr">
        <is>
          <t>A 38620-2022</t>
        </is>
      </c>
      <c r="B50" s="1" t="n">
        <v>44813</v>
      </c>
      <c r="C50" s="1" t="n">
        <v>45766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HYPERLINK("https://klasma.github.io/Logging_2560/artfynd/A 38620-2022 artfynd.xlsx", "A 38620-2022")</f>
        <v/>
      </c>
      <c r="T50">
        <f>HYPERLINK("https://klasma.github.io/Logging_2560/kartor/A 38620-2022 karta.png", "A 38620-2022")</f>
        <v/>
      </c>
      <c r="V50">
        <f>HYPERLINK("https://klasma.github.io/Logging_2560/klagomål/A 38620-2022 FSC-klagomål.docx", "A 38620-2022")</f>
        <v/>
      </c>
      <c r="W50">
        <f>HYPERLINK("https://klasma.github.io/Logging_2560/klagomålsmail/A 38620-2022 FSC-klagomål mail.docx", "A 38620-2022")</f>
        <v/>
      </c>
      <c r="X50">
        <f>HYPERLINK("https://klasma.github.io/Logging_2560/tillsyn/A 38620-2022 tillsynsbegäran.docx", "A 38620-2022")</f>
        <v/>
      </c>
      <c r="Y50">
        <f>HYPERLINK("https://klasma.github.io/Logging_2560/tillsynsmail/A 38620-2022 tillsynsbegäran mail.docx", "A 38620-2022")</f>
        <v/>
      </c>
    </row>
    <row r="51" ht="15" customHeight="1">
      <c r="A51" t="inlineStr">
        <is>
          <t>A 42680-2022</t>
        </is>
      </c>
      <c r="B51" s="1" t="n">
        <v>44832</v>
      </c>
      <c r="C51" s="1" t="n">
        <v>45766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42680-2022 artfynd.xlsx", "A 42680-2022")</f>
        <v/>
      </c>
      <c r="T51">
        <f>HYPERLINK("https://klasma.github.io/Logging_2560/kartor/A 42680-2022 karta.png", "A 42680-2022")</f>
        <v/>
      </c>
      <c r="V51">
        <f>HYPERLINK("https://klasma.github.io/Logging_2560/klagomål/A 42680-2022 FSC-klagomål.docx", "A 42680-2022")</f>
        <v/>
      </c>
      <c r="W51">
        <f>HYPERLINK("https://klasma.github.io/Logging_2560/klagomålsmail/A 42680-2022 FSC-klagomål mail.docx", "A 42680-2022")</f>
        <v/>
      </c>
      <c r="X51">
        <f>HYPERLINK("https://klasma.github.io/Logging_2560/tillsyn/A 42680-2022 tillsynsbegäran.docx", "A 42680-2022")</f>
        <v/>
      </c>
      <c r="Y51">
        <f>HYPERLINK("https://klasma.github.io/Logging_2560/tillsynsmail/A 42680-2022 tillsynsbegäran mail.docx", "A 42680-2022")</f>
        <v/>
      </c>
    </row>
    <row r="52" ht="15" customHeight="1">
      <c r="A52" t="inlineStr">
        <is>
          <t>A 44283-2022</t>
        </is>
      </c>
      <c r="B52" s="1" t="n">
        <v>44839</v>
      </c>
      <c r="C52" s="1" t="n">
        <v>45766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44283-2022 artfynd.xlsx", "A 44283-2022")</f>
        <v/>
      </c>
      <c r="T52">
        <f>HYPERLINK("https://klasma.github.io/Logging_2560/kartor/A 44283-2022 karta.png", "A 44283-2022")</f>
        <v/>
      </c>
      <c r="V52">
        <f>HYPERLINK("https://klasma.github.io/Logging_2560/klagomål/A 44283-2022 FSC-klagomål.docx", "A 44283-2022")</f>
        <v/>
      </c>
      <c r="W52">
        <f>HYPERLINK("https://klasma.github.io/Logging_2560/klagomålsmail/A 44283-2022 FSC-klagomål mail.docx", "A 44283-2022")</f>
        <v/>
      </c>
      <c r="X52">
        <f>HYPERLINK("https://klasma.github.io/Logging_2560/tillsyn/A 44283-2022 tillsynsbegäran.docx", "A 44283-2022")</f>
        <v/>
      </c>
      <c r="Y52">
        <f>HYPERLINK("https://klasma.github.io/Logging_2560/tillsynsmail/A 44283-2022 tillsynsbegäran mail.docx", "A 44283-2022")</f>
        <v/>
      </c>
    </row>
    <row r="53" ht="15" customHeight="1">
      <c r="A53" t="inlineStr">
        <is>
          <t>A 31829-2023</t>
        </is>
      </c>
      <c r="B53" s="1" t="n">
        <v>45106</v>
      </c>
      <c r="C53" s="1" t="n">
        <v>45766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HYPERLINK("https://klasma.github.io/Logging_2560/artfynd/A 31829-2023 artfynd.xlsx", "A 31829-2023")</f>
        <v/>
      </c>
      <c r="T53">
        <f>HYPERLINK("https://klasma.github.io/Logging_2560/kartor/A 31829-2023 karta.png", "A 31829-2023")</f>
        <v/>
      </c>
      <c r="V53">
        <f>HYPERLINK("https://klasma.github.io/Logging_2560/klagomål/A 31829-2023 FSC-klagomål.docx", "A 31829-2023")</f>
        <v/>
      </c>
      <c r="W53">
        <f>HYPERLINK("https://klasma.github.io/Logging_2560/klagomålsmail/A 31829-2023 FSC-klagomål mail.docx", "A 31829-2023")</f>
        <v/>
      </c>
      <c r="X53">
        <f>HYPERLINK("https://klasma.github.io/Logging_2560/tillsyn/A 31829-2023 tillsynsbegäran.docx", "A 31829-2023")</f>
        <v/>
      </c>
      <c r="Y53">
        <f>HYPERLINK("https://klasma.github.io/Logging_2560/tillsynsmail/A 31829-2023 tillsynsbegäran mail.docx", "A 31829-2023")</f>
        <v/>
      </c>
      <c r="Z53">
        <f>HYPERLINK("https://klasma.github.io/Logging_2560/fåglar/A 31829-2023 prioriterade fågelarter.docx", "A 31829-2023")</f>
        <v/>
      </c>
    </row>
    <row r="54" ht="15" customHeight="1">
      <c r="A54" t="inlineStr">
        <is>
          <t>A 29651-2023</t>
        </is>
      </c>
      <c r="B54" s="1" t="n">
        <v>45107</v>
      </c>
      <c r="C54" s="1" t="n">
        <v>45766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29651-2023 artfynd.xlsx", "A 29651-2023")</f>
        <v/>
      </c>
      <c r="T54">
        <f>HYPERLINK("https://klasma.github.io/Logging_2560/kartor/A 29651-2023 karta.png", "A 29651-2023")</f>
        <v/>
      </c>
      <c r="V54">
        <f>HYPERLINK("https://klasma.github.io/Logging_2560/klagomål/A 29651-2023 FSC-klagomål.docx", "A 29651-2023")</f>
        <v/>
      </c>
      <c r="W54">
        <f>HYPERLINK("https://klasma.github.io/Logging_2560/klagomålsmail/A 29651-2023 FSC-klagomål mail.docx", "A 29651-2023")</f>
        <v/>
      </c>
      <c r="X54">
        <f>HYPERLINK("https://klasma.github.io/Logging_2560/tillsyn/A 29651-2023 tillsynsbegäran.docx", "A 29651-2023")</f>
        <v/>
      </c>
      <c r="Y54">
        <f>HYPERLINK("https://klasma.github.io/Logging_2560/tillsynsmail/A 29651-2023 tillsynsbegäran mail.docx", "A 29651-2023")</f>
        <v/>
      </c>
    </row>
    <row r="55" ht="15" customHeight="1">
      <c r="A55" t="inlineStr">
        <is>
          <t>A 29650-2023</t>
        </is>
      </c>
      <c r="B55" s="1" t="n">
        <v>45107</v>
      </c>
      <c r="C55" s="1" t="n">
        <v>45766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29650-2023 artfynd.xlsx", "A 29650-2023")</f>
        <v/>
      </c>
      <c r="T55">
        <f>HYPERLINK("https://klasma.github.io/Logging_2560/kartor/A 29650-2023 karta.png", "A 29650-2023")</f>
        <v/>
      </c>
      <c r="V55">
        <f>HYPERLINK("https://klasma.github.io/Logging_2560/klagomål/A 29650-2023 FSC-klagomål.docx", "A 29650-2023")</f>
        <v/>
      </c>
      <c r="W55">
        <f>HYPERLINK("https://klasma.github.io/Logging_2560/klagomålsmail/A 29650-2023 FSC-klagomål mail.docx", "A 29650-2023")</f>
        <v/>
      </c>
      <c r="X55">
        <f>HYPERLINK("https://klasma.github.io/Logging_2560/tillsyn/A 29650-2023 tillsynsbegäran.docx", "A 29650-2023")</f>
        <v/>
      </c>
      <c r="Y55">
        <f>HYPERLINK("https://klasma.github.io/Logging_2560/tillsynsmail/A 29650-2023 tillsynsbegäran mail.docx", "A 29650-2023")</f>
        <v/>
      </c>
    </row>
    <row r="56" ht="15" customHeight="1">
      <c r="A56" t="inlineStr">
        <is>
          <t>A 37717-2023</t>
        </is>
      </c>
      <c r="B56" s="1" t="n">
        <v>45159</v>
      </c>
      <c r="C56" s="1" t="n">
        <v>45766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HYPERLINK("https://klasma.github.io/Logging_2560/artfynd/A 37717-2023 artfynd.xlsx", "A 37717-2023")</f>
        <v/>
      </c>
      <c r="T56">
        <f>HYPERLINK("https://klasma.github.io/Logging_2560/kartor/A 37717-2023 karta.png", "A 37717-2023")</f>
        <v/>
      </c>
      <c r="V56">
        <f>HYPERLINK("https://klasma.github.io/Logging_2560/klagomål/A 37717-2023 FSC-klagomål.docx", "A 37717-2023")</f>
        <v/>
      </c>
      <c r="W56">
        <f>HYPERLINK("https://klasma.github.io/Logging_2560/klagomålsmail/A 37717-2023 FSC-klagomål mail.docx", "A 37717-2023")</f>
        <v/>
      </c>
      <c r="X56">
        <f>HYPERLINK("https://klasma.github.io/Logging_2560/tillsyn/A 37717-2023 tillsynsbegäran.docx", "A 37717-2023")</f>
        <v/>
      </c>
      <c r="Y56">
        <f>HYPERLINK("https://klasma.github.io/Logging_2560/tillsynsmail/A 37717-2023 tillsynsbegäran mail.docx", "A 37717-2023")</f>
        <v/>
      </c>
    </row>
    <row r="57" ht="15" customHeight="1">
      <c r="A57" t="inlineStr">
        <is>
          <t>A 39828-2023</t>
        </is>
      </c>
      <c r="B57" s="1" t="n">
        <v>45168</v>
      </c>
      <c r="C57" s="1" t="n">
        <v>45766</v>
      </c>
      <c r="D57" t="inlineStr">
        <is>
          <t>NORRBOTTENS LÄN</t>
        </is>
      </c>
      <c r="E57" t="inlineStr">
        <is>
          <t>ÄLVSBYN</t>
        </is>
      </c>
      <c r="G57" t="n">
        <v>14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HYPERLINK("https://klasma.github.io/Logging_2560/artfynd/A 39828-2023 artfynd.xlsx", "A 39828-2023")</f>
        <v/>
      </c>
      <c r="T57">
        <f>HYPERLINK("https://klasma.github.io/Logging_2560/kartor/A 39828-2023 karta.png", "A 39828-2023")</f>
        <v/>
      </c>
      <c r="V57">
        <f>HYPERLINK("https://klasma.github.io/Logging_2560/klagomål/A 39828-2023 FSC-klagomål.docx", "A 39828-2023")</f>
        <v/>
      </c>
      <c r="W57">
        <f>HYPERLINK("https://klasma.github.io/Logging_2560/klagomålsmail/A 39828-2023 FSC-klagomål mail.docx", "A 39828-2023")</f>
        <v/>
      </c>
      <c r="X57">
        <f>HYPERLINK("https://klasma.github.io/Logging_2560/tillsyn/A 39828-2023 tillsynsbegäran.docx", "A 39828-2023")</f>
        <v/>
      </c>
      <c r="Y57">
        <f>HYPERLINK("https://klasma.github.io/Logging_2560/tillsynsmail/A 39828-2023 tillsynsbegäran mail.docx", "A 39828-2023")</f>
        <v/>
      </c>
    </row>
    <row r="58" ht="15" customHeight="1">
      <c r="A58" t="inlineStr">
        <is>
          <t>A 40463-2023</t>
        </is>
      </c>
      <c r="B58" s="1" t="n">
        <v>45170</v>
      </c>
      <c r="C58" s="1" t="n">
        <v>45766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40463-2023 artfynd.xlsx", "A 40463-2023")</f>
        <v/>
      </c>
      <c r="T58">
        <f>HYPERLINK("https://klasma.github.io/Logging_2560/kartor/A 40463-2023 karta.png", "A 40463-2023")</f>
        <v/>
      </c>
      <c r="V58">
        <f>HYPERLINK("https://klasma.github.io/Logging_2560/klagomål/A 40463-2023 FSC-klagomål.docx", "A 40463-2023")</f>
        <v/>
      </c>
      <c r="W58">
        <f>HYPERLINK("https://klasma.github.io/Logging_2560/klagomålsmail/A 40463-2023 FSC-klagomål mail.docx", "A 40463-2023")</f>
        <v/>
      </c>
      <c r="X58">
        <f>HYPERLINK("https://klasma.github.io/Logging_2560/tillsyn/A 40463-2023 tillsynsbegäran.docx", "A 40463-2023")</f>
        <v/>
      </c>
      <c r="Y58">
        <f>HYPERLINK("https://klasma.github.io/Logging_2560/tillsynsmail/A 40463-2023 tillsynsbegäran mail.docx", "A 40463-2023")</f>
        <v/>
      </c>
    </row>
    <row r="59" ht="15" customHeight="1">
      <c r="A59" t="inlineStr">
        <is>
          <t>A 6275-2024</t>
        </is>
      </c>
      <c r="B59" s="1" t="n">
        <v>45337</v>
      </c>
      <c r="C59" s="1" t="n">
        <v>45766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HYPERLINK("https://klasma.github.io/Logging_2560/artfynd/A 6275-2024 artfynd.xlsx", "A 6275-2024")</f>
        <v/>
      </c>
      <c r="T59">
        <f>HYPERLINK("https://klasma.github.io/Logging_2560/kartor/A 6275-2024 karta.png", "A 6275-2024")</f>
        <v/>
      </c>
      <c r="V59">
        <f>HYPERLINK("https://klasma.github.io/Logging_2560/klagomål/A 6275-2024 FSC-klagomål.docx", "A 6275-2024")</f>
        <v/>
      </c>
      <c r="W59">
        <f>HYPERLINK("https://klasma.github.io/Logging_2560/klagomålsmail/A 6275-2024 FSC-klagomål mail.docx", "A 6275-2024")</f>
        <v/>
      </c>
      <c r="X59">
        <f>HYPERLINK("https://klasma.github.io/Logging_2560/tillsyn/A 6275-2024 tillsynsbegäran.docx", "A 6275-2024")</f>
        <v/>
      </c>
      <c r="Y59">
        <f>HYPERLINK("https://klasma.github.io/Logging_2560/tillsynsmail/A 6275-2024 tillsynsbegäran mail.docx", "A 6275-2024")</f>
        <v/>
      </c>
    </row>
    <row r="60" ht="15" customHeight="1">
      <c r="A60" t="inlineStr">
        <is>
          <t>A 21974-2024</t>
        </is>
      </c>
      <c r="B60" s="1" t="n">
        <v>45443</v>
      </c>
      <c r="C60" s="1" t="n">
        <v>45766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21974-2024 artfynd.xlsx", "A 21974-2024")</f>
        <v/>
      </c>
      <c r="T60">
        <f>HYPERLINK("https://klasma.github.io/Logging_2560/kartor/A 21974-2024 karta.png", "A 21974-2024")</f>
        <v/>
      </c>
      <c r="V60">
        <f>HYPERLINK("https://klasma.github.io/Logging_2560/klagomål/A 21974-2024 FSC-klagomål.docx", "A 21974-2024")</f>
        <v/>
      </c>
      <c r="W60">
        <f>HYPERLINK("https://klasma.github.io/Logging_2560/klagomålsmail/A 21974-2024 FSC-klagomål mail.docx", "A 21974-2024")</f>
        <v/>
      </c>
      <c r="X60">
        <f>HYPERLINK("https://klasma.github.io/Logging_2560/tillsyn/A 21974-2024 tillsynsbegäran.docx", "A 21974-2024")</f>
        <v/>
      </c>
      <c r="Y60">
        <f>HYPERLINK("https://klasma.github.io/Logging_2560/tillsynsmail/A 21974-2024 tillsynsbegäran mail.docx", "A 21974-2024")</f>
        <v/>
      </c>
    </row>
    <row r="61" ht="15" customHeight="1">
      <c r="A61" t="inlineStr">
        <is>
          <t>A 21858-2024</t>
        </is>
      </c>
      <c r="B61" s="1" t="n">
        <v>45443</v>
      </c>
      <c r="C61" s="1" t="n">
        <v>45766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HYPERLINK("https://klasma.github.io/Logging_2560/artfynd/A 21858-2024 artfynd.xlsx", "A 21858-2024")</f>
        <v/>
      </c>
      <c r="T61">
        <f>HYPERLINK("https://klasma.github.io/Logging_2560/kartor/A 21858-2024 karta.png", "A 21858-2024")</f>
        <v/>
      </c>
      <c r="V61">
        <f>HYPERLINK("https://klasma.github.io/Logging_2560/klagomål/A 21858-2024 FSC-klagomål.docx", "A 21858-2024")</f>
        <v/>
      </c>
      <c r="W61">
        <f>HYPERLINK("https://klasma.github.io/Logging_2560/klagomålsmail/A 21858-2024 FSC-klagomål mail.docx", "A 21858-2024")</f>
        <v/>
      </c>
      <c r="X61">
        <f>HYPERLINK("https://klasma.github.io/Logging_2560/tillsyn/A 21858-2024 tillsynsbegäran.docx", "A 21858-2024")</f>
        <v/>
      </c>
      <c r="Y61">
        <f>HYPERLINK("https://klasma.github.io/Logging_2560/tillsynsmail/A 21858-2024 tillsynsbegäran mail.docx", "A 21858-2024")</f>
        <v/>
      </c>
    </row>
    <row r="62" ht="15" customHeight="1">
      <c r="A62" t="inlineStr">
        <is>
          <t>A 23132-2024</t>
        </is>
      </c>
      <c r="B62" s="1" t="n">
        <v>45450</v>
      </c>
      <c r="C62" s="1" t="n">
        <v>45766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23132-2024 artfynd.xlsx", "A 23132-2024")</f>
        <v/>
      </c>
      <c r="T62">
        <f>HYPERLINK("https://klasma.github.io/Logging_2560/kartor/A 23132-2024 karta.png", "A 23132-2024")</f>
        <v/>
      </c>
      <c r="V62">
        <f>HYPERLINK("https://klasma.github.io/Logging_2560/klagomål/A 23132-2024 FSC-klagomål.docx", "A 23132-2024")</f>
        <v/>
      </c>
      <c r="W62">
        <f>HYPERLINK("https://klasma.github.io/Logging_2560/klagomålsmail/A 23132-2024 FSC-klagomål mail.docx", "A 23132-2024")</f>
        <v/>
      </c>
      <c r="X62">
        <f>HYPERLINK("https://klasma.github.io/Logging_2560/tillsyn/A 23132-2024 tillsynsbegäran.docx", "A 23132-2024")</f>
        <v/>
      </c>
      <c r="Y62">
        <f>HYPERLINK("https://klasma.github.io/Logging_2560/tillsynsmail/A 23132-2024 tillsynsbegäran mail.docx", "A 23132-2024")</f>
        <v/>
      </c>
    </row>
    <row r="63" ht="15" customHeight="1">
      <c r="A63" t="inlineStr">
        <is>
          <t>A 42554-2024</t>
        </is>
      </c>
      <c r="B63" s="1" t="n">
        <v>45565</v>
      </c>
      <c r="C63" s="1" t="n">
        <v>45766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HYPERLINK("https://klasma.github.io/Logging_2560/artfynd/A 42554-2024 artfynd.xlsx", "A 42554-2024")</f>
        <v/>
      </c>
      <c r="T63">
        <f>HYPERLINK("https://klasma.github.io/Logging_2560/kartor/A 42554-2024 karta.png", "A 42554-2024")</f>
        <v/>
      </c>
      <c r="V63">
        <f>HYPERLINK("https://klasma.github.io/Logging_2560/klagomål/A 42554-2024 FSC-klagomål.docx", "A 42554-2024")</f>
        <v/>
      </c>
      <c r="W63">
        <f>HYPERLINK("https://klasma.github.io/Logging_2560/klagomålsmail/A 42554-2024 FSC-klagomål mail.docx", "A 42554-2024")</f>
        <v/>
      </c>
      <c r="X63">
        <f>HYPERLINK("https://klasma.github.io/Logging_2560/tillsyn/A 42554-2024 tillsynsbegäran.docx", "A 42554-2024")</f>
        <v/>
      </c>
      <c r="Y63">
        <f>HYPERLINK("https://klasma.github.io/Logging_2560/tillsynsmail/A 42554-2024 tillsynsbegäran mail.docx", "A 42554-2024")</f>
        <v/>
      </c>
    </row>
    <row r="64" ht="15" customHeight="1">
      <c r="A64" t="inlineStr">
        <is>
          <t>A 43774-2024</t>
        </is>
      </c>
      <c r="B64" s="1" t="n">
        <v>45570</v>
      </c>
      <c r="C64" s="1" t="n">
        <v>45766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HYPERLINK("https://klasma.github.io/Logging_2560/artfynd/A 43774-2024 artfynd.xlsx", "A 43774-2024")</f>
        <v/>
      </c>
      <c r="T64">
        <f>HYPERLINK("https://klasma.github.io/Logging_2560/kartor/A 43774-2024 karta.png", "A 43774-2024")</f>
        <v/>
      </c>
      <c r="V64">
        <f>HYPERLINK("https://klasma.github.io/Logging_2560/klagomål/A 43774-2024 FSC-klagomål.docx", "A 43774-2024")</f>
        <v/>
      </c>
      <c r="W64">
        <f>HYPERLINK("https://klasma.github.io/Logging_2560/klagomålsmail/A 43774-2024 FSC-klagomål mail.docx", "A 43774-2024")</f>
        <v/>
      </c>
      <c r="X64">
        <f>HYPERLINK("https://klasma.github.io/Logging_2560/tillsyn/A 43774-2024 tillsynsbegäran.docx", "A 43774-2024")</f>
        <v/>
      </c>
      <c r="Y64">
        <f>HYPERLINK("https://klasma.github.io/Logging_2560/tillsynsmail/A 43774-2024 tillsynsbegäran mail.docx", "A 43774-2024")</f>
        <v/>
      </c>
    </row>
    <row r="65" ht="15" customHeight="1">
      <c r="A65" t="inlineStr">
        <is>
          <t>A 55788-2024</t>
        </is>
      </c>
      <c r="B65" s="1" t="n">
        <v>45623</v>
      </c>
      <c r="C65" s="1" t="n">
        <v>45766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HYPERLINK("https://klasma.github.io/Logging_2560/artfynd/A 55788-2024 artfynd.xlsx", "A 55788-2024")</f>
        <v/>
      </c>
      <c r="T65">
        <f>HYPERLINK("https://klasma.github.io/Logging_2560/kartor/A 55788-2024 karta.png", "A 55788-2024")</f>
        <v/>
      </c>
      <c r="V65">
        <f>HYPERLINK("https://klasma.github.io/Logging_2560/klagomål/A 55788-2024 FSC-klagomål.docx", "A 55788-2024")</f>
        <v/>
      </c>
      <c r="W65">
        <f>HYPERLINK("https://klasma.github.io/Logging_2560/klagomålsmail/A 55788-2024 FSC-klagomål mail.docx", "A 55788-2024")</f>
        <v/>
      </c>
      <c r="X65">
        <f>HYPERLINK("https://klasma.github.io/Logging_2560/tillsyn/A 55788-2024 tillsynsbegäran.docx", "A 55788-2024")</f>
        <v/>
      </c>
      <c r="Y65">
        <f>HYPERLINK("https://klasma.github.io/Logging_2560/tillsynsmail/A 55788-2024 tillsynsbegäran mail.docx", "A 55788-2024")</f>
        <v/>
      </c>
    </row>
    <row r="66" ht="15" customHeight="1">
      <c r="A66" t="inlineStr">
        <is>
          <t>A 56551-2024</t>
        </is>
      </c>
      <c r="B66" s="1" t="n">
        <v>45625</v>
      </c>
      <c r="C66" s="1" t="n">
        <v>45766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HYPERLINK("https://klasma.github.io/Logging_2560/artfynd/A 56551-2024 artfynd.xlsx", "A 56551-2024")</f>
        <v/>
      </c>
      <c r="T66">
        <f>HYPERLINK("https://klasma.github.io/Logging_2560/kartor/A 56551-2024 karta.png", "A 56551-2024")</f>
        <v/>
      </c>
      <c r="V66">
        <f>HYPERLINK("https://klasma.github.io/Logging_2560/klagomål/A 56551-2024 FSC-klagomål.docx", "A 56551-2024")</f>
        <v/>
      </c>
      <c r="W66">
        <f>HYPERLINK("https://klasma.github.io/Logging_2560/klagomålsmail/A 56551-2024 FSC-klagomål mail.docx", "A 56551-2024")</f>
        <v/>
      </c>
      <c r="X66">
        <f>HYPERLINK("https://klasma.github.io/Logging_2560/tillsyn/A 56551-2024 tillsynsbegäran.docx", "A 56551-2024")</f>
        <v/>
      </c>
      <c r="Y66">
        <f>HYPERLINK("https://klasma.github.io/Logging_2560/tillsynsmail/A 56551-2024 tillsynsbegäran mail.docx", "A 56551-2024")</f>
        <v/>
      </c>
    </row>
    <row r="67" ht="15" customHeight="1">
      <c r="A67" t="inlineStr">
        <is>
          <t>A 57140-2024</t>
        </is>
      </c>
      <c r="B67" s="1" t="n">
        <v>45629</v>
      </c>
      <c r="C67" s="1" t="n">
        <v>45766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HYPERLINK("https://klasma.github.io/Logging_2560/artfynd/A 57140-2024 artfynd.xlsx", "A 57140-2024")</f>
        <v/>
      </c>
      <c r="T67">
        <f>HYPERLINK("https://klasma.github.io/Logging_2560/kartor/A 57140-2024 karta.png", "A 57140-2024")</f>
        <v/>
      </c>
      <c r="V67">
        <f>HYPERLINK("https://klasma.github.io/Logging_2560/klagomål/A 57140-2024 FSC-klagomål.docx", "A 57140-2024")</f>
        <v/>
      </c>
      <c r="W67">
        <f>HYPERLINK("https://klasma.github.io/Logging_2560/klagomålsmail/A 57140-2024 FSC-klagomål mail.docx", "A 57140-2024")</f>
        <v/>
      </c>
      <c r="X67">
        <f>HYPERLINK("https://klasma.github.io/Logging_2560/tillsyn/A 57140-2024 tillsynsbegäran.docx", "A 57140-2024")</f>
        <v/>
      </c>
      <c r="Y67">
        <f>HYPERLINK("https://klasma.github.io/Logging_2560/tillsynsmail/A 57140-2024 tillsynsbegäran mail.docx", "A 57140-2024")</f>
        <v/>
      </c>
    </row>
    <row r="68" ht="15" customHeight="1">
      <c r="A68" t="inlineStr">
        <is>
          <t>A 23610-2019</t>
        </is>
      </c>
      <c r="B68" s="1" t="n">
        <v>43594</v>
      </c>
      <c r="C68" s="1" t="n">
        <v>45766</v>
      </c>
      <c r="D68" t="inlineStr">
        <is>
          <t>NORRBOTTENS LÄN</t>
        </is>
      </c>
      <c r="E68" t="inlineStr">
        <is>
          <t>ÄLVSBYN</t>
        </is>
      </c>
      <c r="F68" t="inlineStr">
        <is>
          <t>Kommuner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23647-2019</t>
        </is>
      </c>
      <c r="B69" s="1" t="n">
        <v>43594</v>
      </c>
      <c r="C69" s="1" t="n">
        <v>45766</v>
      </c>
      <c r="D69" t="inlineStr">
        <is>
          <t>NORRBOTTENS LÄN</t>
        </is>
      </c>
      <c r="E69" t="inlineStr">
        <is>
          <t>ÄLVSBYN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23642-2019</t>
        </is>
      </c>
      <c r="B70" s="1" t="n">
        <v>43594</v>
      </c>
      <c r="C70" s="1" t="n">
        <v>45766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24129-2019</t>
        </is>
      </c>
      <c r="B71" s="1" t="n">
        <v>43598</v>
      </c>
      <c r="C71" s="1" t="n">
        <v>45766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25214-2019</t>
        </is>
      </c>
      <c r="B72" s="1" t="n">
        <v>43600</v>
      </c>
      <c r="C72" s="1" t="n">
        <v>45766</v>
      </c>
      <c r="D72" t="inlineStr">
        <is>
          <t>NORRBOTTENS LÄN</t>
        </is>
      </c>
      <c r="E72" t="inlineStr">
        <is>
          <t>ÄLVSBYN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26818-2019</t>
        </is>
      </c>
      <c r="B73" s="1" t="n">
        <v>43607</v>
      </c>
      <c r="C73" s="1" t="n">
        <v>45766</v>
      </c>
      <c r="D73" t="inlineStr">
        <is>
          <t>NORRBOTTENS LÄN</t>
        </is>
      </c>
      <c r="E73" t="inlineStr">
        <is>
          <t>ÄLVSBYN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27233-2019</t>
        </is>
      </c>
      <c r="B74" s="1" t="n">
        <v>43614</v>
      </c>
      <c r="C74" s="1" t="n">
        <v>45766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34165-2019</t>
        </is>
      </c>
      <c r="B75" s="1" t="n">
        <v>43655</v>
      </c>
      <c r="C75" s="1" t="n">
        <v>45766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36781-2019</t>
        </is>
      </c>
      <c r="B76" s="1" t="n">
        <v>43672</v>
      </c>
      <c r="C76" s="1" t="n">
        <v>45766</v>
      </c>
      <c r="D76" t="inlineStr">
        <is>
          <t>NORRBOTTENS LÄN</t>
        </is>
      </c>
      <c r="E76" t="inlineStr">
        <is>
          <t>ÄLVSBYN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37311-2019</t>
        </is>
      </c>
      <c r="B77" s="1" t="n">
        <v>43677</v>
      </c>
      <c r="C77" s="1" t="n">
        <v>45766</v>
      </c>
      <c r="D77" t="inlineStr">
        <is>
          <t>NORRBOTTENS LÄN</t>
        </is>
      </c>
      <c r="E77" t="inlineStr">
        <is>
          <t>ÄLVSBYN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37313-2019</t>
        </is>
      </c>
      <c r="B78" s="1" t="n">
        <v>43677</v>
      </c>
      <c r="C78" s="1" t="n">
        <v>45766</v>
      </c>
      <c r="D78" t="inlineStr">
        <is>
          <t>NORRBOTTENS LÄN</t>
        </is>
      </c>
      <c r="E78" t="inlineStr">
        <is>
          <t>ÄLVSBYN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39333-2019</t>
        </is>
      </c>
      <c r="B79" s="1" t="n">
        <v>43690</v>
      </c>
      <c r="C79" s="1" t="n">
        <v>45766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39670-2019</t>
        </is>
      </c>
      <c r="B80" s="1" t="n">
        <v>43691</v>
      </c>
      <c r="C80" s="1" t="n">
        <v>45766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42887-2019</t>
        </is>
      </c>
      <c r="B81" s="1" t="n">
        <v>43705</v>
      </c>
      <c r="C81" s="1" t="n">
        <v>45766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45428-2019</t>
        </is>
      </c>
      <c r="B82" s="1" t="n">
        <v>43710</v>
      </c>
      <c r="C82" s="1" t="n">
        <v>45766</v>
      </c>
      <c r="D82" t="inlineStr">
        <is>
          <t>NORRBOTTENS LÄN</t>
        </is>
      </c>
      <c r="E82" t="inlineStr">
        <is>
          <t>ÄLVSBYN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45337-2019</t>
        </is>
      </c>
      <c r="B83" s="1" t="n">
        <v>43710</v>
      </c>
      <c r="C83" s="1" t="n">
        <v>45766</v>
      </c>
      <c r="D83" t="inlineStr">
        <is>
          <t>NORRBOTTENS LÄN</t>
        </is>
      </c>
      <c r="E83" t="inlineStr">
        <is>
          <t>ÄLVSBYN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44641-2019</t>
        </is>
      </c>
      <c r="B84" s="1" t="n">
        <v>43712</v>
      </c>
      <c r="C84" s="1" t="n">
        <v>45766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45130-2019</t>
        </is>
      </c>
      <c r="B85" s="1" t="n">
        <v>43713</v>
      </c>
      <c r="C85" s="1" t="n">
        <v>45766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45185-2019</t>
        </is>
      </c>
      <c r="B86" s="1" t="n">
        <v>43713</v>
      </c>
      <c r="C86" s="1" t="n">
        <v>45766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45184-2019</t>
        </is>
      </c>
      <c r="B87" s="1" t="n">
        <v>43713</v>
      </c>
      <c r="C87" s="1" t="n">
        <v>45766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46362-2019</t>
        </is>
      </c>
      <c r="B88" s="1" t="n">
        <v>43718</v>
      </c>
      <c r="C88" s="1" t="n">
        <v>45766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46363-2019</t>
        </is>
      </c>
      <c r="B89" s="1" t="n">
        <v>43718</v>
      </c>
      <c r="C89" s="1" t="n">
        <v>45766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47099-2019</t>
        </is>
      </c>
      <c r="B90" s="1" t="n">
        <v>43721</v>
      </c>
      <c r="C90" s="1" t="n">
        <v>45766</v>
      </c>
      <c r="D90" t="inlineStr">
        <is>
          <t>NORRBOTTENS LÄN</t>
        </is>
      </c>
      <c r="E90" t="inlineStr">
        <is>
          <t>ÄLVSBYN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48608-2019</t>
        </is>
      </c>
      <c r="B91" s="1" t="n">
        <v>43727</v>
      </c>
      <c r="C91" s="1" t="n">
        <v>45766</v>
      </c>
      <c r="D91" t="inlineStr">
        <is>
          <t>NORRBOTTENS LÄN</t>
        </is>
      </c>
      <c r="E91" t="inlineStr">
        <is>
          <t>ÄLVSBYN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51067-2019</t>
        </is>
      </c>
      <c r="B92" s="1" t="n">
        <v>43739</v>
      </c>
      <c r="C92" s="1" t="n">
        <v>45766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53821-2019</t>
        </is>
      </c>
      <c r="B93" s="1" t="n">
        <v>43742</v>
      </c>
      <c r="C93" s="1" t="n">
        <v>45766</v>
      </c>
      <c r="D93" t="inlineStr">
        <is>
          <t>NORRBOTTENS LÄN</t>
        </is>
      </c>
      <c r="E93" t="inlineStr">
        <is>
          <t>ÄLVSBYN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54007-2019</t>
        </is>
      </c>
      <c r="B94" s="1" t="n">
        <v>43742</v>
      </c>
      <c r="C94" s="1" t="n">
        <v>45766</v>
      </c>
      <c r="D94" t="inlineStr">
        <is>
          <t>NORRBOTTENS LÄN</t>
        </is>
      </c>
      <c r="E94" t="inlineStr">
        <is>
          <t>ÄLVSBYN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53818-2019</t>
        </is>
      </c>
      <c r="B95" s="1" t="n">
        <v>43752</v>
      </c>
      <c r="C95" s="1" t="n">
        <v>45766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59343-2019</t>
        </is>
      </c>
      <c r="B96" s="1" t="n">
        <v>43770</v>
      </c>
      <c r="C96" s="1" t="n">
        <v>45766</v>
      </c>
      <c r="D96" t="inlineStr">
        <is>
          <t>NORRBOTTENS LÄN</t>
        </is>
      </c>
      <c r="E96" t="inlineStr">
        <is>
          <t>ÄLVSBYN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59263-2019</t>
        </is>
      </c>
      <c r="B97" s="1" t="n">
        <v>43773</v>
      </c>
      <c r="C97" s="1" t="n">
        <v>45766</v>
      </c>
      <c r="D97" t="inlineStr">
        <is>
          <t>NORRBOTTENS LÄN</t>
        </is>
      </c>
      <c r="E97" t="inlineStr">
        <is>
          <t>ÄLVSBYN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61696-2019</t>
        </is>
      </c>
      <c r="B98" s="1" t="n">
        <v>43780</v>
      </c>
      <c r="C98" s="1" t="n">
        <v>45766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63602-2019</t>
        </is>
      </c>
      <c r="B99" s="1" t="n">
        <v>43789</v>
      </c>
      <c r="C99" s="1" t="n">
        <v>45766</v>
      </c>
      <c r="D99" t="inlineStr">
        <is>
          <t>NORRBOTTENS LÄN</t>
        </is>
      </c>
      <c r="E99" t="inlineStr">
        <is>
          <t>ÄLVSBYN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65482-2019</t>
        </is>
      </c>
      <c r="B100" s="1" t="n">
        <v>43803</v>
      </c>
      <c r="C100" s="1" t="n">
        <v>45766</v>
      </c>
      <c r="D100" t="inlineStr">
        <is>
          <t>NORRBOTTENS LÄN</t>
        </is>
      </c>
      <c r="E100" t="inlineStr">
        <is>
          <t>ÄLVSBYN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66403-2019</t>
        </is>
      </c>
      <c r="B101" s="1" t="n">
        <v>43809</v>
      </c>
      <c r="C101" s="1" t="n">
        <v>45766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68991-2019</t>
        </is>
      </c>
      <c r="B102" s="1" t="n">
        <v>43818</v>
      </c>
      <c r="C102" s="1" t="n">
        <v>45766</v>
      </c>
      <c r="D102" t="inlineStr">
        <is>
          <t>NORRBOTTENS LÄN</t>
        </is>
      </c>
      <c r="E102" t="inlineStr">
        <is>
          <t>ÄLVSBYN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68670-2019</t>
        </is>
      </c>
      <c r="B103" s="1" t="n">
        <v>43818</v>
      </c>
      <c r="C103" s="1" t="n">
        <v>45766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68498-2019</t>
        </is>
      </c>
      <c r="B104" s="1" t="n">
        <v>43818</v>
      </c>
      <c r="C104" s="1" t="n">
        <v>45766</v>
      </c>
      <c r="D104" t="inlineStr">
        <is>
          <t>NORRBOTTENS LÄN</t>
        </is>
      </c>
      <c r="E104" t="inlineStr">
        <is>
          <t>ÄLVSBYN</t>
        </is>
      </c>
      <c r="F104" t="inlineStr">
        <is>
          <t>Övriga Aktiebolag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1661-2020</t>
        </is>
      </c>
      <c r="B105" s="1" t="n">
        <v>43832</v>
      </c>
      <c r="C105" s="1" t="n">
        <v>45766</v>
      </c>
      <c r="D105" t="inlineStr">
        <is>
          <t>NORRBOTTENS LÄN</t>
        </is>
      </c>
      <c r="E105" t="inlineStr">
        <is>
          <t>ÄLVSBYN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2133-2020</t>
        </is>
      </c>
      <c r="B106" s="1" t="n">
        <v>43839</v>
      </c>
      <c r="C106" s="1" t="n">
        <v>45766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2129-2020</t>
        </is>
      </c>
      <c r="B107" s="1" t="n">
        <v>43839</v>
      </c>
      <c r="C107" s="1" t="n">
        <v>45766</v>
      </c>
      <c r="D107" t="inlineStr">
        <is>
          <t>NORRBOTTENS LÄN</t>
        </is>
      </c>
      <c r="E107" t="inlineStr">
        <is>
          <t>ÄLVSBYN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7019-2020</t>
        </is>
      </c>
      <c r="B108" s="1" t="n">
        <v>43868</v>
      </c>
      <c r="C108" s="1" t="n">
        <v>45766</v>
      </c>
      <c r="D108" t="inlineStr">
        <is>
          <t>NORRBOTTENS LÄN</t>
        </is>
      </c>
      <c r="E108" t="inlineStr">
        <is>
          <t>ÄLVSBYN</t>
        </is>
      </c>
      <c r="F108" t="inlineStr">
        <is>
          <t>Övriga Aktiebolag</t>
        </is>
      </c>
      <c r="G108" t="n">
        <v>16.3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16705-2020</t>
        </is>
      </c>
      <c r="B109" s="1" t="n">
        <v>43908</v>
      </c>
      <c r="C109" s="1" t="n">
        <v>45766</v>
      </c>
      <c r="D109" t="inlineStr">
        <is>
          <t>NORRBOTTENS LÄN</t>
        </is>
      </c>
      <c r="E109" t="inlineStr">
        <is>
          <t>ÄLVSBYN</t>
        </is>
      </c>
      <c r="F109" t="inlineStr">
        <is>
          <t>SCA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17786-2020</t>
        </is>
      </c>
      <c r="B110" s="1" t="n">
        <v>43922</v>
      </c>
      <c r="C110" s="1" t="n">
        <v>45766</v>
      </c>
      <c r="D110" t="inlineStr">
        <is>
          <t>NORRBOTTENS LÄN</t>
        </is>
      </c>
      <c r="E110" t="inlineStr">
        <is>
          <t>ÄLVSBYN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18866-2020</t>
        </is>
      </c>
      <c r="B111" s="1" t="n">
        <v>43930</v>
      </c>
      <c r="C111" s="1" t="n">
        <v>45766</v>
      </c>
      <c r="D111" t="inlineStr">
        <is>
          <t>NORRBOTTENS LÄN</t>
        </is>
      </c>
      <c r="E111" t="inlineStr">
        <is>
          <t>ÄLVSBYN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22470-2020</t>
        </is>
      </c>
      <c r="B112" s="1" t="n">
        <v>43963</v>
      </c>
      <c r="C112" s="1" t="n">
        <v>45766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31241-2020</t>
        </is>
      </c>
      <c r="B113" s="1" t="n">
        <v>44012</v>
      </c>
      <c r="C113" s="1" t="n">
        <v>45766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35323-2020</t>
        </is>
      </c>
      <c r="B114" s="1" t="n">
        <v>44041</v>
      </c>
      <c r="C114" s="1" t="n">
        <v>45766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37955-2020</t>
        </is>
      </c>
      <c r="B115" s="1" t="n">
        <v>44057</v>
      </c>
      <c r="C115" s="1" t="n">
        <v>45766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44523-2020</t>
        </is>
      </c>
      <c r="B116" s="1" t="n">
        <v>44085</v>
      </c>
      <c r="C116" s="1" t="n">
        <v>45766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44685-2020</t>
        </is>
      </c>
      <c r="B117" s="1" t="n">
        <v>44085</v>
      </c>
      <c r="C117" s="1" t="n">
        <v>45766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44682-2020</t>
        </is>
      </c>
      <c r="B118" s="1" t="n">
        <v>44085</v>
      </c>
      <c r="C118" s="1" t="n">
        <v>45766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44716-2020</t>
        </is>
      </c>
      <c r="B119" s="1" t="n">
        <v>44085</v>
      </c>
      <c r="C119" s="1" t="n">
        <v>45766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44756-2020</t>
        </is>
      </c>
      <c r="B120" s="1" t="n">
        <v>44085</v>
      </c>
      <c r="C120" s="1" t="n">
        <v>45766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44758-2020</t>
        </is>
      </c>
      <c r="B121" s="1" t="n">
        <v>44085</v>
      </c>
      <c r="C121" s="1" t="n">
        <v>45766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45627-2020</t>
        </is>
      </c>
      <c r="B122" s="1" t="n">
        <v>44090</v>
      </c>
      <c r="C122" s="1" t="n">
        <v>45766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46299-2020</t>
        </is>
      </c>
      <c r="B123" s="1" t="n">
        <v>44092</v>
      </c>
      <c r="C123" s="1" t="n">
        <v>45766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49319-2020</t>
        </is>
      </c>
      <c r="B124" s="1" t="n">
        <v>44102</v>
      </c>
      <c r="C124" s="1" t="n">
        <v>45766</v>
      </c>
      <c r="D124" t="inlineStr">
        <is>
          <t>NORRBOTTENS LÄN</t>
        </is>
      </c>
      <c r="E124" t="inlineStr">
        <is>
          <t>ÄLVSBYN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49730-2020</t>
        </is>
      </c>
      <c r="B125" s="1" t="n">
        <v>44103</v>
      </c>
      <c r="C125" s="1" t="n">
        <v>45766</v>
      </c>
      <c r="D125" t="inlineStr">
        <is>
          <t>NORRBOTTENS LÄN</t>
        </is>
      </c>
      <c r="E125" t="inlineStr">
        <is>
          <t>ÄLVSBYN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48971-2020</t>
        </is>
      </c>
      <c r="B126" s="1" t="n">
        <v>44105</v>
      </c>
      <c r="C126" s="1" t="n">
        <v>45766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54418-2020</t>
        </is>
      </c>
      <c r="B127" s="1" t="n">
        <v>44125</v>
      </c>
      <c r="C127" s="1" t="n">
        <v>45766</v>
      </c>
      <c r="D127" t="inlineStr">
        <is>
          <t>NORRBOTTENS LÄN</t>
        </is>
      </c>
      <c r="E127" t="inlineStr">
        <is>
          <t>ÄLVSBYN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54412-2020</t>
        </is>
      </c>
      <c r="B128" s="1" t="n">
        <v>44125</v>
      </c>
      <c r="C128" s="1" t="n">
        <v>45766</v>
      </c>
      <c r="D128" t="inlineStr">
        <is>
          <t>NORRBOTTENS LÄN</t>
        </is>
      </c>
      <c r="E128" t="inlineStr">
        <is>
          <t>ÄLVSBYN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55873-2020</t>
        </is>
      </c>
      <c r="B129" s="1" t="n">
        <v>44131</v>
      </c>
      <c r="C129" s="1" t="n">
        <v>45766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59153-2020</t>
        </is>
      </c>
      <c r="B130" s="1" t="n">
        <v>44147</v>
      </c>
      <c r="C130" s="1" t="n">
        <v>45766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59464-2020</t>
        </is>
      </c>
      <c r="B131" s="1" t="n">
        <v>44148</v>
      </c>
      <c r="C131" s="1" t="n">
        <v>45766</v>
      </c>
      <c r="D131" t="inlineStr">
        <is>
          <t>NORRBOTTENS LÄN</t>
        </is>
      </c>
      <c r="E131" t="inlineStr">
        <is>
          <t>ÄLVSBYN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66296-2020</t>
        </is>
      </c>
      <c r="B132" s="1" t="n">
        <v>44174</v>
      </c>
      <c r="C132" s="1" t="n">
        <v>45766</v>
      </c>
      <c r="D132" t="inlineStr">
        <is>
          <t>NORRBOTTENS LÄN</t>
        </is>
      </c>
      <c r="E132" t="inlineStr">
        <is>
          <t>ÄLVSBYN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5455-2021</t>
        </is>
      </c>
      <c r="B133" s="1" t="n">
        <v>44229</v>
      </c>
      <c r="C133" s="1" t="n">
        <v>45766</v>
      </c>
      <c r="D133" t="inlineStr">
        <is>
          <t>NORRBOTTENS LÄN</t>
        </is>
      </c>
      <c r="E133" t="inlineStr">
        <is>
          <t>ÄLVSBYN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5410-2021</t>
        </is>
      </c>
      <c r="B134" s="1" t="n">
        <v>44229</v>
      </c>
      <c r="C134" s="1" t="n">
        <v>45766</v>
      </c>
      <c r="D134" t="inlineStr">
        <is>
          <t>NORRBOTTENS LÄN</t>
        </is>
      </c>
      <c r="E134" t="inlineStr">
        <is>
          <t>ÄLVSBYN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8847-2021</t>
        </is>
      </c>
      <c r="B135" s="1" t="n">
        <v>44246</v>
      </c>
      <c r="C135" s="1" t="n">
        <v>45766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12950-2021</t>
        </is>
      </c>
      <c r="B136" s="1" t="n">
        <v>44271</v>
      </c>
      <c r="C136" s="1" t="n">
        <v>45766</v>
      </c>
      <c r="D136" t="inlineStr">
        <is>
          <t>NORRBOTTENS LÄN</t>
        </is>
      </c>
      <c r="E136" t="inlineStr">
        <is>
          <t>ÄLVSBYN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14866-2021</t>
        </is>
      </c>
      <c r="B137" s="1" t="n">
        <v>44280</v>
      </c>
      <c r="C137" s="1" t="n">
        <v>45766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14863-2021</t>
        </is>
      </c>
      <c r="B138" s="1" t="n">
        <v>44280</v>
      </c>
      <c r="C138" s="1" t="n">
        <v>45766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14864-2021</t>
        </is>
      </c>
      <c r="B139" s="1" t="n">
        <v>44280</v>
      </c>
      <c r="C139" s="1" t="n">
        <v>45766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17784-2021</t>
        </is>
      </c>
      <c r="B140" s="1" t="n">
        <v>44300</v>
      </c>
      <c r="C140" s="1" t="n">
        <v>45766</v>
      </c>
      <c r="D140" t="inlineStr">
        <is>
          <t>NORRBOTTENS LÄN</t>
        </is>
      </c>
      <c r="E140" t="inlineStr">
        <is>
          <t>ÄLVSBYN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19294-2021</t>
        </is>
      </c>
      <c r="B141" s="1" t="n">
        <v>44308</v>
      </c>
      <c r="C141" s="1" t="n">
        <v>45766</v>
      </c>
      <c r="D141" t="inlineStr">
        <is>
          <t>NORRBOTTENS LÄN</t>
        </is>
      </c>
      <c r="E141" t="inlineStr">
        <is>
          <t>ÄLVSBYN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19270-2021</t>
        </is>
      </c>
      <c r="B142" s="1" t="n">
        <v>44308</v>
      </c>
      <c r="C142" s="1" t="n">
        <v>45766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23063-2021</t>
        </is>
      </c>
      <c r="B143" s="1" t="n">
        <v>44329</v>
      </c>
      <c r="C143" s="1" t="n">
        <v>45766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24990-2021</t>
        </is>
      </c>
      <c r="B144" s="1" t="n">
        <v>44341</v>
      </c>
      <c r="C144" s="1" t="n">
        <v>45766</v>
      </c>
      <c r="D144" t="inlineStr">
        <is>
          <t>NORRBOTTENS LÄN</t>
        </is>
      </c>
      <c r="E144" t="inlineStr">
        <is>
          <t>ÄLVSBYN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25360-2021</t>
        </is>
      </c>
      <c r="B145" s="1" t="n">
        <v>44342</v>
      </c>
      <c r="C145" s="1" t="n">
        <v>45766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33823-2021</t>
        </is>
      </c>
      <c r="B146" s="1" t="n">
        <v>44378</v>
      </c>
      <c r="C146" s="1" t="n">
        <v>45766</v>
      </c>
      <c r="D146" t="inlineStr">
        <is>
          <t>NORRBOTTENS LÄN</t>
        </is>
      </c>
      <c r="E146" t="inlineStr">
        <is>
          <t>ÄLVSBYN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41386-2021</t>
        </is>
      </c>
      <c r="B147" s="1" t="n">
        <v>44424</v>
      </c>
      <c r="C147" s="1" t="n">
        <v>45766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43005-2021</t>
        </is>
      </c>
      <c r="B148" s="1" t="n">
        <v>44431</v>
      </c>
      <c r="C148" s="1" t="n">
        <v>45766</v>
      </c>
      <c r="D148" t="inlineStr">
        <is>
          <t>NORRBOTTENS LÄN</t>
        </is>
      </c>
      <c r="E148" t="inlineStr">
        <is>
          <t>ÄLVSBYN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45603-2021</t>
        </is>
      </c>
      <c r="B149" s="1" t="n">
        <v>44440</v>
      </c>
      <c r="C149" s="1" t="n">
        <v>45766</v>
      </c>
      <c r="D149" t="inlineStr">
        <is>
          <t>NORRBOTTENS LÄN</t>
        </is>
      </c>
      <c r="E149" t="inlineStr">
        <is>
          <t>ÄLVSBYN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46881-2021</t>
        </is>
      </c>
      <c r="B150" s="1" t="n">
        <v>44446</v>
      </c>
      <c r="C150" s="1" t="n">
        <v>45766</v>
      </c>
      <c r="D150" t="inlineStr">
        <is>
          <t>NORRBOTTENS LÄN</t>
        </is>
      </c>
      <c r="E150" t="inlineStr">
        <is>
          <t>ÄLVSBYN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47046-2021</t>
        </is>
      </c>
      <c r="B151" s="1" t="n">
        <v>44446</v>
      </c>
      <c r="C151" s="1" t="n">
        <v>45766</v>
      </c>
      <c r="D151" t="inlineStr">
        <is>
          <t>NORRBOTTENS LÄN</t>
        </is>
      </c>
      <c r="E151" t="inlineStr">
        <is>
          <t>ÄLVSBYN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47695-2021</t>
        </is>
      </c>
      <c r="B152" s="1" t="n">
        <v>44448</v>
      </c>
      <c r="C152" s="1" t="n">
        <v>45766</v>
      </c>
      <c r="D152" t="inlineStr">
        <is>
          <t>NORRBOTTENS LÄN</t>
        </is>
      </c>
      <c r="E152" t="inlineStr">
        <is>
          <t>ÄLVSBYN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48103-2021</t>
        </is>
      </c>
      <c r="B153" s="1" t="n">
        <v>44449</v>
      </c>
      <c r="C153" s="1" t="n">
        <v>45766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49773-2021</t>
        </is>
      </c>
      <c r="B154" s="1" t="n">
        <v>44455</v>
      </c>
      <c r="C154" s="1" t="n">
        <v>45766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49843-2021</t>
        </is>
      </c>
      <c r="B155" s="1" t="n">
        <v>44455</v>
      </c>
      <c r="C155" s="1" t="n">
        <v>45766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50917-2021</t>
        </is>
      </c>
      <c r="B156" s="1" t="n">
        <v>44460</v>
      </c>
      <c r="C156" s="1" t="n">
        <v>45766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50746-2021</t>
        </is>
      </c>
      <c r="B157" s="1" t="n">
        <v>44460</v>
      </c>
      <c r="C157" s="1" t="n">
        <v>45766</v>
      </c>
      <c r="D157" t="inlineStr">
        <is>
          <t>NORRBOTTENS LÄN</t>
        </is>
      </c>
      <c r="E157" t="inlineStr">
        <is>
          <t>ÄLVSBYN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50924-2021</t>
        </is>
      </c>
      <c r="B158" s="1" t="n">
        <v>44460</v>
      </c>
      <c r="C158" s="1" t="n">
        <v>45766</v>
      </c>
      <c r="D158" t="inlineStr">
        <is>
          <t>NORRBOTTENS LÄN</t>
        </is>
      </c>
      <c r="E158" t="inlineStr">
        <is>
          <t>ÄLVSBYN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50744-2021</t>
        </is>
      </c>
      <c r="B159" s="1" t="n">
        <v>44460</v>
      </c>
      <c r="C159" s="1" t="n">
        <v>45766</v>
      </c>
      <c r="D159" t="inlineStr">
        <is>
          <t>NORRBOTTENS LÄN</t>
        </is>
      </c>
      <c r="E159" t="inlineStr">
        <is>
          <t>ÄLVSBYN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51540-2021</t>
        </is>
      </c>
      <c r="B160" s="1" t="n">
        <v>44462</v>
      </c>
      <c r="C160" s="1" t="n">
        <v>45766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51829-2021</t>
        </is>
      </c>
      <c r="B161" s="1" t="n">
        <v>44462</v>
      </c>
      <c r="C161" s="1" t="n">
        <v>45766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51825-2021</t>
        </is>
      </c>
      <c r="B162" s="1" t="n">
        <v>44462</v>
      </c>
      <c r="C162" s="1" t="n">
        <v>45766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51912-2021</t>
        </is>
      </c>
      <c r="B163" s="1" t="n">
        <v>44462</v>
      </c>
      <c r="C163" s="1" t="n">
        <v>45766</v>
      </c>
      <c r="D163" t="inlineStr">
        <is>
          <t>NORRBOTTENS LÄN</t>
        </is>
      </c>
      <c r="E163" t="inlineStr">
        <is>
          <t>ÄLVSBYN</t>
        </is>
      </c>
      <c r="G163" t="n">
        <v>26.5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51993-2021</t>
        </is>
      </c>
      <c r="B164" s="1" t="n">
        <v>44463</v>
      </c>
      <c r="C164" s="1" t="n">
        <v>45766</v>
      </c>
      <c r="D164" t="inlineStr">
        <is>
          <t>NORRBOTTENS LÄN</t>
        </is>
      </c>
      <c r="E164" t="inlineStr">
        <is>
          <t>ÄLVSBYN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51998-2021</t>
        </is>
      </c>
      <c r="B165" s="1" t="n">
        <v>44463</v>
      </c>
      <c r="C165" s="1" t="n">
        <v>45766</v>
      </c>
      <c r="D165" t="inlineStr">
        <is>
          <t>NORRBOTTENS LÄN</t>
        </is>
      </c>
      <c r="E165" t="inlineStr">
        <is>
          <t>ÄLVSBYN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52253-2021</t>
        </is>
      </c>
      <c r="B166" s="1" t="n">
        <v>44463</v>
      </c>
      <c r="C166" s="1" t="n">
        <v>45766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52716-2021</t>
        </is>
      </c>
      <c r="B167" s="1" t="n">
        <v>44466</v>
      </c>
      <c r="C167" s="1" t="n">
        <v>45766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54804-2021</t>
        </is>
      </c>
      <c r="B168" s="1" t="n">
        <v>44473</v>
      </c>
      <c r="C168" s="1" t="n">
        <v>45766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54803-2021</t>
        </is>
      </c>
      <c r="B169" s="1" t="n">
        <v>44474</v>
      </c>
      <c r="C169" s="1" t="n">
        <v>45766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55775-2021</t>
        </is>
      </c>
      <c r="B170" s="1" t="n">
        <v>44476</v>
      </c>
      <c r="C170" s="1" t="n">
        <v>45766</v>
      </c>
      <c r="D170" t="inlineStr">
        <is>
          <t>NORRBOTTENS LÄN</t>
        </is>
      </c>
      <c r="E170" t="inlineStr">
        <is>
          <t>ÄLVSBYN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57816-2021</t>
        </is>
      </c>
      <c r="B171" s="1" t="n">
        <v>44484</v>
      </c>
      <c r="C171" s="1" t="n">
        <v>45766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58532-2021</t>
        </is>
      </c>
      <c r="B172" s="1" t="n">
        <v>44488</v>
      </c>
      <c r="C172" s="1" t="n">
        <v>45766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59483-2021</t>
        </is>
      </c>
      <c r="B173" s="1" t="n">
        <v>44491</v>
      </c>
      <c r="C173" s="1" t="n">
        <v>45766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59487-2021</t>
        </is>
      </c>
      <c r="B174" s="1" t="n">
        <v>44491</v>
      </c>
      <c r="C174" s="1" t="n">
        <v>45766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59553-2021</t>
        </is>
      </c>
      <c r="B175" s="1" t="n">
        <v>44491</v>
      </c>
      <c r="C175" s="1" t="n">
        <v>45766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59742-2021</t>
        </is>
      </c>
      <c r="B176" s="1" t="n">
        <v>44494</v>
      </c>
      <c r="C176" s="1" t="n">
        <v>45766</v>
      </c>
      <c r="D176" t="inlineStr">
        <is>
          <t>NORRBOTTENS LÄN</t>
        </is>
      </c>
      <c r="E176" t="inlineStr">
        <is>
          <t>ÄLVSBYN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60030-2021</t>
        </is>
      </c>
      <c r="B177" s="1" t="n">
        <v>44494</v>
      </c>
      <c r="C177" s="1" t="n">
        <v>45766</v>
      </c>
      <c r="D177" t="inlineStr">
        <is>
          <t>NORRBOTTENS LÄN</t>
        </is>
      </c>
      <c r="E177" t="inlineStr">
        <is>
          <t>ÄLVSBYN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65410-2021</t>
        </is>
      </c>
      <c r="B178" s="1" t="n">
        <v>44515</v>
      </c>
      <c r="C178" s="1" t="n">
        <v>45766</v>
      </c>
      <c r="D178" t="inlineStr">
        <is>
          <t>NORRBOTTENS LÄN</t>
        </is>
      </c>
      <c r="E178" t="inlineStr">
        <is>
          <t>ÄLVSBYN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67103-2021</t>
        </is>
      </c>
      <c r="B179" s="1" t="n">
        <v>44522</v>
      </c>
      <c r="C179" s="1" t="n">
        <v>45766</v>
      </c>
      <c r="D179" t="inlineStr">
        <is>
          <t>NORRBOTTENS LÄN</t>
        </is>
      </c>
      <c r="E179" t="inlineStr">
        <is>
          <t>ÄLVSBYN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67106-2021</t>
        </is>
      </c>
      <c r="B180" s="1" t="n">
        <v>44522</v>
      </c>
      <c r="C180" s="1" t="n">
        <v>45766</v>
      </c>
      <c r="D180" t="inlineStr">
        <is>
          <t>NORRBOTTENS LÄN</t>
        </is>
      </c>
      <c r="E180" t="inlineStr">
        <is>
          <t>ÄLVSBYN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69314-2021</t>
        </is>
      </c>
      <c r="B181" s="1" t="n">
        <v>44531</v>
      </c>
      <c r="C181" s="1" t="n">
        <v>45766</v>
      </c>
      <c r="D181" t="inlineStr">
        <is>
          <t>NORRBOTTENS LÄN</t>
        </is>
      </c>
      <c r="E181" t="inlineStr">
        <is>
          <t>ÄLVSBYN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71925-2021</t>
        </is>
      </c>
      <c r="B182" s="1" t="n">
        <v>44543</v>
      </c>
      <c r="C182" s="1" t="n">
        <v>45766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71923-2021</t>
        </is>
      </c>
      <c r="B183" s="1" t="n">
        <v>44543</v>
      </c>
      <c r="C183" s="1" t="n">
        <v>45766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71939-2021</t>
        </is>
      </c>
      <c r="B184" s="1" t="n">
        <v>44543</v>
      </c>
      <c r="C184" s="1" t="n">
        <v>45766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72951-2021</t>
        </is>
      </c>
      <c r="B185" s="1" t="n">
        <v>44547</v>
      </c>
      <c r="C185" s="1" t="n">
        <v>45766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73589-2021</t>
        </is>
      </c>
      <c r="B186" s="1" t="n">
        <v>44552</v>
      </c>
      <c r="C186" s="1" t="n">
        <v>45766</v>
      </c>
      <c r="D186" t="inlineStr">
        <is>
          <t>NORRBOTTENS LÄN</t>
        </is>
      </c>
      <c r="E186" t="inlineStr">
        <is>
          <t>ÄLVSBYN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73648-2021</t>
        </is>
      </c>
      <c r="B187" s="1" t="n">
        <v>44552</v>
      </c>
      <c r="C187" s="1" t="n">
        <v>45766</v>
      </c>
      <c r="D187" t="inlineStr">
        <is>
          <t>NORRBOTTENS LÄN</t>
        </is>
      </c>
      <c r="E187" t="inlineStr">
        <is>
          <t>ÄLVSBYN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45766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45766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45766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45766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45766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45766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45766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45766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45766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45766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45766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45766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45766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45766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45766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45766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45766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45766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45766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45766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45766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45766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45766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45766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45766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45766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45766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45766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45766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45766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45766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45766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45766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45766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45766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45766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45766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45766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45766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45766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45766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45766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45766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45766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45766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45766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45766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45766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45766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45766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45766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45766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45766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45766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45766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45766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45766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45766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45766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45766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45766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45766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45766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45766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45766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45766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45766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45766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45766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45766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45766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45766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45766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45766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45766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45766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45766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45766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45766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45766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45766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45766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45766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45766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45766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45766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45766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45766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45766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45766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45766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45766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45766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45766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45766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45766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45766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45766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45766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45766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45766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45766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45766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45766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45766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45766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45766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45766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45766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45766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45766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45766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45766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45766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45766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45766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45766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45766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45766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45766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45766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45766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45766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45766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45766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45766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45766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45766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45766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45766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45766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45766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45766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45766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45766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45766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45766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45766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45766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45766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45766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45766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45766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45766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45766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45766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45766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45766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45766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45766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45766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45766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45766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45766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45766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45766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45766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45766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45766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45766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45766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45766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45766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45766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45766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45766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45766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45766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45766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45766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45766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45766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45766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45766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45766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45766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45766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45766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45766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45766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45766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45766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45766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45766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45766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45766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45766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45766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45766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45766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45766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45766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45766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45766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45766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45766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45766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45766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45766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45766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45766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45766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45766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45766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45766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45766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45766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45766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45766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45766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45766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45766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45766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45766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45766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45766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45766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45766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45766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45766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45766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45766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45766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45766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45766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45766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45766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45766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45766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45766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45766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45766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45766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45766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45766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45766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45766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45766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45766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45766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45766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45766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45766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45766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45766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45766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45766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45766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45766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45766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45766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45766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45766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45766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45766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45766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45766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45766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45766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45766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45766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45766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45766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45766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45766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45766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45766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45766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45766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45766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45766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45766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45766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45766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45766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45766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45766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45766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45766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45766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45766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45766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45766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45766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45766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45766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45766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45766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45766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45766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45766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45766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45766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45766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45766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45766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45766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45766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45766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45766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45766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45766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45766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45766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45766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45766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45766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45766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45766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45766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45766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45766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45766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45766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45766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45766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45766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45766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45766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45766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45766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45766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45766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45766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45766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45766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45766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45766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45766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45766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45766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45766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45766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45766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45766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45766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45766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45766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45766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45766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45766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45766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45766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45766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45766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45766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45766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45766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45766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45766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45766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45766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45766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45766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45766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45766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45766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45766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45766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45766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45766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45766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45766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45766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45766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45766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45766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45766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45766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45766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45766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45766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45766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45766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45766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45766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45766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45766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45766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45766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45766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45766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45766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45766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45766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45766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45766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45766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45766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45766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45766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45766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45766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45766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45766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45766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45766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45766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45766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45766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45766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45766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45766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45766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45766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45766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45766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45766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45766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45766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45766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45766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45766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45766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45766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45766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45766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45766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45766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45766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45766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45766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45766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45766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45766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45766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45766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45766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45766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45766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45766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45766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45766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45766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45766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45766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45766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45766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45766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45766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45766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45766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45766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45766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45766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45766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45766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45766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45766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45766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45766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45766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45766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45766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45766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45766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45766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45766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45766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45766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45766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45766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45766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45766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45766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45766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45766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45766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45766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45766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45766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45766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45766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45766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45766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45766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45766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45766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45766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45766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45766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45766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45766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45766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45766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45766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45766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45766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45766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45766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45766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45766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45766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45766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45766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45766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45766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45766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45766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45766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45766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45766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45766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45766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45766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45766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45766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45766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45766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45766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45766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45766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45766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45766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45766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45766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45766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45766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45766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45766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45766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45766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45766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45766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45766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45766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45766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45766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13329-2025</t>
        </is>
      </c>
      <c r="B716" s="1" t="n">
        <v>45735</v>
      </c>
      <c r="C716" s="1" t="n">
        <v>45766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45766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45766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45766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45766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16473-2025</t>
        </is>
      </c>
      <c r="B721" s="1" t="n">
        <v>45751</v>
      </c>
      <c r="C721" s="1" t="n">
        <v>45766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18090-2025</t>
        </is>
      </c>
      <c r="B722" s="1" t="n">
        <v>45761</v>
      </c>
      <c r="C722" s="1" t="n">
        <v>45766</v>
      </c>
      <c r="D722" t="inlineStr">
        <is>
          <t>NORRBOTTENS LÄN</t>
        </is>
      </c>
      <c r="E722" t="inlineStr">
        <is>
          <t>ÄLVSBYN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18093-2025</t>
        </is>
      </c>
      <c r="B723" s="1" t="n">
        <v>45761</v>
      </c>
      <c r="C723" s="1" t="n">
        <v>45766</v>
      </c>
      <c r="D723" t="inlineStr">
        <is>
          <t>NORRBOTTENS LÄN</t>
        </is>
      </c>
      <c r="E723" t="inlineStr">
        <is>
          <t>ÄLVSBYN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18958-2025</t>
        </is>
      </c>
      <c r="B724" s="1" t="n">
        <v>45764</v>
      </c>
      <c r="C724" s="1" t="n">
        <v>45766</v>
      </c>
      <c r="D724" t="inlineStr">
        <is>
          <t>NORRBOTTENS LÄN</t>
        </is>
      </c>
      <c r="E724" t="inlineStr">
        <is>
          <t>ÄLVSBYN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2025-04-19T17:16:02Z</dcterms:created>
  <dcterms:modified xmlns:dcterms="http://purl.org/dc/terms/" xmlns:xsi="http://www.w3.org/2001/XMLSchema-instance" xsi:type="dcterms:W3CDTF">2025-04-19T17:16:02Z</dcterms:modified>
</cp:coreProperties>
</file>