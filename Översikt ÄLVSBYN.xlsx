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45811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45811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45811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45811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45811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45811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45811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45811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45811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45811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45811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45811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45811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45811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45811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45811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45811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45811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45811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45811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45811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45811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45811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45811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45811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45811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45811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45811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45811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45811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45811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45811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45811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45811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45811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45811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45811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45811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45811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62395-2023</t>
        </is>
      </c>
      <c r="B41" s="1" t="n">
        <v>45266</v>
      </c>
      <c r="C41" s="1" t="n">
        <v>45811</v>
      </c>
      <c r="D41" t="inlineStr">
        <is>
          <t>NORRBOTTENS LÄN</t>
        </is>
      </c>
      <c r="E41" t="inlineStr">
        <is>
          <t>ÄLVSBYN</t>
        </is>
      </c>
      <c r="G41" t="n">
        <v>3.1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HYPERLINK("https://klasma.github.io/Logging_2560/artfynd/A 62395-2023 artfynd.xlsx", "A 62395-2023")</f>
        <v/>
      </c>
      <c r="T41">
        <f>HYPERLINK("https://klasma.github.io/Logging_2560/kartor/A 62395-2023 karta.png", "A 62395-2023")</f>
        <v/>
      </c>
      <c r="V41">
        <f>HYPERLINK("https://klasma.github.io/Logging_2560/klagomål/A 62395-2023 FSC-klagomål.docx", "A 62395-2023")</f>
        <v/>
      </c>
      <c r="W41">
        <f>HYPERLINK("https://klasma.github.io/Logging_2560/klagomålsmail/A 62395-2023 FSC-klagomål mail.docx", "A 62395-2023")</f>
        <v/>
      </c>
      <c r="X41">
        <f>HYPERLINK("https://klasma.github.io/Logging_2560/tillsyn/A 62395-2023 tillsynsbegäran.docx", "A 62395-2023")</f>
        <v/>
      </c>
      <c r="Y41">
        <f>HYPERLINK("https://klasma.github.io/Logging_2560/tillsynsmail/A 62395-2023 tillsynsbegäran mail.docx", "A 62395-2023")</f>
        <v/>
      </c>
    </row>
    <row r="42" ht="15" customHeight="1">
      <c r="A42" t="inlineStr">
        <is>
          <t>A 569-2024</t>
        </is>
      </c>
      <c r="B42" s="1" t="n">
        <v>45299</v>
      </c>
      <c r="C42" s="1" t="n">
        <v>45811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Skarp dropptaggsvamp</t>
        </is>
      </c>
      <c r="S42">
        <f>HYPERLINK("https://klasma.github.io/Logging_2560/artfynd/A 569-2024 artfynd.xlsx", "A 569-2024")</f>
        <v/>
      </c>
      <c r="T42">
        <f>HYPERLINK("https://klasma.github.io/Logging_2560/kartor/A 569-2024 karta.png", "A 569-2024")</f>
        <v/>
      </c>
      <c r="V42">
        <f>HYPERLINK("https://klasma.github.io/Logging_2560/klagomål/A 569-2024 FSC-klagomål.docx", "A 569-2024")</f>
        <v/>
      </c>
      <c r="W42">
        <f>HYPERLINK("https://klasma.github.io/Logging_2560/klagomålsmail/A 569-2024 FSC-klagomål mail.docx", "A 569-2024")</f>
        <v/>
      </c>
      <c r="X42">
        <f>HYPERLINK("https://klasma.github.io/Logging_2560/tillsyn/A 569-2024 tillsynsbegäran.docx", "A 569-2024")</f>
        <v/>
      </c>
      <c r="Y42">
        <f>HYPERLINK("https://klasma.github.io/Logging_2560/tillsynsmail/A 569-2024 tillsynsbegäran mail.docx", "A 569-2024")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45811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23134-2024</t>
        </is>
      </c>
      <c r="B44" s="1" t="n">
        <v>45450</v>
      </c>
      <c r="C44" s="1" t="n">
        <v>45811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27.4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23134-2024 artfynd.xlsx", "A 23134-2024")</f>
        <v/>
      </c>
      <c r="T44">
        <f>HYPERLINK("https://klasma.github.io/Logging_2560/kartor/A 23134-2024 karta.png", "A 23134-2024")</f>
        <v/>
      </c>
      <c r="V44">
        <f>HYPERLINK("https://klasma.github.io/Logging_2560/klagomål/A 23134-2024 FSC-klagomål.docx", "A 23134-2024")</f>
        <v/>
      </c>
      <c r="W44">
        <f>HYPERLINK("https://klasma.github.io/Logging_2560/klagomålsmail/A 23134-2024 FSC-klagomål mail.docx", "A 23134-2024")</f>
        <v/>
      </c>
      <c r="X44">
        <f>HYPERLINK("https://klasma.github.io/Logging_2560/tillsyn/A 23134-2024 tillsynsbegäran.docx", "A 23134-2024")</f>
        <v/>
      </c>
      <c r="Y44">
        <f>HYPERLINK("https://klasma.github.io/Logging_2560/tillsynsmail/A 23134-2024 tillsynsbegäran mail.docx", "A 23134-2024")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45811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45811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45310-2024</t>
        </is>
      </c>
      <c r="B47" s="1" t="n">
        <v>45576</v>
      </c>
      <c r="C47" s="1" t="n">
        <v>45811</v>
      </c>
      <c r="D47" t="inlineStr">
        <is>
          <t>NORRBOTTENS LÄN</t>
        </is>
      </c>
      <c r="E47" t="inlineStr">
        <is>
          <t>ÄLVSBYN</t>
        </is>
      </c>
      <c r="G47" t="n">
        <v>8.199999999999999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45310-2024 artfynd.xlsx", "A 45310-2024")</f>
        <v/>
      </c>
      <c r="T47">
        <f>HYPERLINK("https://klasma.github.io/Logging_2560/kartor/A 45310-2024 karta.png", "A 45310-2024")</f>
        <v/>
      </c>
      <c r="V47">
        <f>HYPERLINK("https://klasma.github.io/Logging_2560/klagomål/A 45310-2024 FSC-klagomål.docx", "A 45310-2024")</f>
        <v/>
      </c>
      <c r="W47">
        <f>HYPERLINK("https://klasma.github.io/Logging_2560/klagomålsmail/A 45310-2024 FSC-klagomål mail.docx", "A 45310-2024")</f>
        <v/>
      </c>
      <c r="X47">
        <f>HYPERLINK("https://klasma.github.io/Logging_2560/tillsyn/A 45310-2024 tillsynsbegäran.docx", "A 45310-2024")</f>
        <v/>
      </c>
      <c r="Y47">
        <f>HYPERLINK("https://klasma.github.io/Logging_2560/tillsynsmail/A 45310-2024 tillsynsbegäran mail.docx", "A 45310-2024")</f>
        <v/>
      </c>
    </row>
    <row r="48" ht="15" customHeight="1">
      <c r="A48" t="inlineStr">
        <is>
          <t>A 45314-2024</t>
        </is>
      </c>
      <c r="B48" s="1" t="n">
        <v>45576</v>
      </c>
      <c r="C48" s="1" t="n">
        <v>45811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Dropptaggsvamp</t>
        </is>
      </c>
      <c r="S48">
        <f>HYPERLINK("https://klasma.github.io/Logging_2560/artfynd/A 45314-2024 artfynd.xlsx", "A 45314-2024")</f>
        <v/>
      </c>
      <c r="T48">
        <f>HYPERLINK("https://klasma.github.io/Logging_2560/kartor/A 45314-2024 karta.png", "A 45314-2024")</f>
        <v/>
      </c>
      <c r="V48">
        <f>HYPERLINK("https://klasma.github.io/Logging_2560/klagomål/A 45314-2024 FSC-klagomål.docx", "A 45314-2024")</f>
        <v/>
      </c>
      <c r="W48">
        <f>HYPERLINK("https://klasma.github.io/Logging_2560/klagomålsmail/A 45314-2024 FSC-klagomål mail.docx", "A 45314-2024")</f>
        <v/>
      </c>
      <c r="X48">
        <f>HYPERLINK("https://klasma.github.io/Logging_2560/tillsyn/A 45314-2024 tillsynsbegäran.docx", "A 45314-2024")</f>
        <v/>
      </c>
      <c r="Y48">
        <f>HYPERLINK("https://klasma.github.io/Logging_2560/tillsynsmail/A 45314-2024 tillsynsbegäran mail.docx", "A 45314-2024")</f>
        <v/>
      </c>
    </row>
    <row r="49" ht="15" customHeight="1">
      <c r="A49" t="inlineStr">
        <is>
          <t>A 45317-2024</t>
        </is>
      </c>
      <c r="B49" s="1" t="n">
        <v>45576</v>
      </c>
      <c r="C49" s="1" t="n">
        <v>45811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Skarp dropptaggsvamp</t>
        </is>
      </c>
      <c r="S49">
        <f>HYPERLINK("https://klasma.github.io/Logging_2560/artfynd/A 45317-2024 artfynd.xlsx", "A 45317-2024")</f>
        <v/>
      </c>
      <c r="T49">
        <f>HYPERLINK("https://klasma.github.io/Logging_2560/kartor/A 45317-2024 karta.png", "A 45317-2024")</f>
        <v/>
      </c>
      <c r="V49">
        <f>HYPERLINK("https://klasma.github.io/Logging_2560/klagomål/A 45317-2024 FSC-klagomål.docx", "A 45317-2024")</f>
        <v/>
      </c>
      <c r="W49">
        <f>HYPERLINK("https://klasma.github.io/Logging_2560/klagomålsmail/A 45317-2024 FSC-klagomål mail.docx", "A 45317-2024")</f>
        <v/>
      </c>
      <c r="X49">
        <f>HYPERLINK("https://klasma.github.io/Logging_2560/tillsyn/A 45317-2024 tillsynsbegäran.docx", "A 45317-2024")</f>
        <v/>
      </c>
      <c r="Y49">
        <f>HYPERLINK("https://klasma.github.io/Logging_2560/tillsynsmail/A 45317-2024 tillsynsbegäran mail.docx", "A 45317-2024")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45811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45811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HYPERLINK("https://klasma.github.io/Logging_252560/artfynd/A 21856-2025 artfynd.xlsx", "A 21856-2025")</f>
        <v/>
      </c>
      <c r="T51">
        <f>HYPERLINK("https://klasma.github.io/Logging_252560/kartor/A 21856-2025 karta.png", "A 21856-2025")</f>
        <v/>
      </c>
      <c r="V51">
        <f>HYPERLINK("https://klasma.github.io/Logging_252560/klagomål/A 21856-2025 FSC-klagomål.docx", "A 21856-2025")</f>
        <v/>
      </c>
      <c r="W51">
        <f>HYPERLINK("https://klasma.github.io/Logging_252560/klagomålsmail/A 21856-2025 FSC-klagomål mail.docx", "A 21856-2025")</f>
        <v/>
      </c>
      <c r="X51">
        <f>HYPERLINK("https://klasma.github.io/Logging_252560/tillsyn/A 21856-2025 tillsynsbegäran.docx", "A 21856-2025")</f>
        <v/>
      </c>
      <c r="Y51">
        <f>HYPERLINK("https://klasma.github.io/Logging_252560/tillsynsmail/A 21856-2025 tillsynsbegäran mail.docx", "A 21856-2025")</f>
        <v/>
      </c>
    </row>
    <row r="52" ht="15" customHeight="1">
      <c r="A52" t="inlineStr">
        <is>
          <t>A 22567-2025</t>
        </is>
      </c>
      <c r="B52" s="1" t="n">
        <v>45789</v>
      </c>
      <c r="C52" s="1" t="n">
        <v>45811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Rotfingersvamp
Orange taggsvamp</t>
        </is>
      </c>
      <c r="S52">
        <f>HYPERLINK("https://klasma.github.io/Logging_252560/artfynd/A 22567-2025 artfynd.xlsx", "A 22567-2025")</f>
        <v/>
      </c>
      <c r="T52">
        <f>HYPERLINK("https://klasma.github.io/Logging_252560/kartor/A 22567-2025 karta.png", "A 22567-2025")</f>
        <v/>
      </c>
      <c r="V52">
        <f>HYPERLINK("https://klasma.github.io/Logging_252560/klagomål/A 22567-2025 FSC-klagomål.docx", "A 22567-2025")</f>
        <v/>
      </c>
      <c r="W52">
        <f>HYPERLINK("https://klasma.github.io/Logging_252560/klagomålsmail/A 22567-2025 FSC-klagomål mail.docx", "A 22567-2025")</f>
        <v/>
      </c>
      <c r="X52">
        <f>HYPERLINK("https://klasma.github.io/Logging_252560/tillsyn/A 22567-2025 tillsynsbegäran.docx", "A 22567-2025")</f>
        <v/>
      </c>
      <c r="Y52">
        <f>HYPERLINK("https://klasma.github.io/Logging_252560/tillsynsmail/A 22567-2025 tillsynsbegäran mail.docx", "A 22567-2025")</f>
        <v/>
      </c>
    </row>
    <row r="53" ht="15" customHeight="1">
      <c r="A53" t="inlineStr">
        <is>
          <t>A 51078-2019</t>
        </is>
      </c>
      <c r="B53" s="1" t="n">
        <v>43739</v>
      </c>
      <c r="C53" s="1" t="n">
        <v>45811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14.8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51078-2019 artfynd.xlsx", "A 51078-2019")</f>
        <v/>
      </c>
      <c r="T53">
        <f>HYPERLINK("https://klasma.github.io/Logging_2560/kartor/A 51078-2019 karta.png", "A 51078-2019")</f>
        <v/>
      </c>
      <c r="V53">
        <f>HYPERLINK("https://klasma.github.io/Logging_2560/klagomål/A 51078-2019 FSC-klagomål.docx", "A 51078-2019")</f>
        <v/>
      </c>
      <c r="W53">
        <f>HYPERLINK("https://klasma.github.io/Logging_2560/klagomålsmail/A 51078-2019 FSC-klagomål mail.docx", "A 51078-2019")</f>
        <v/>
      </c>
      <c r="X53">
        <f>HYPERLINK("https://klasma.github.io/Logging_2560/tillsyn/A 51078-2019 tillsynsbegäran.docx", "A 51078-2019")</f>
        <v/>
      </c>
      <c r="Y53">
        <f>HYPERLINK("https://klasma.github.io/Logging_2560/tillsynsmail/A 51078-2019 tillsynsbegäran mail.docx", "A 51078-2019")</f>
        <v/>
      </c>
      <c r="Z53">
        <f>HYPERLINK("https://klasma.github.io/Logging_2560/fåglar/A 51078-2019 prioriterade fågelarter.docx", "A 51078-2019")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45811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45811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34022-2022</t>
        </is>
      </c>
      <c r="B56" s="1" t="n">
        <v>44791</v>
      </c>
      <c r="C56" s="1" t="n">
        <v>45811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34022-2022 artfynd.xlsx", "A 34022-2022")</f>
        <v/>
      </c>
      <c r="T56">
        <f>HYPERLINK("https://klasma.github.io/Logging_2560/kartor/A 34022-2022 karta.png", "A 34022-2022")</f>
        <v/>
      </c>
      <c r="V56">
        <f>HYPERLINK("https://klasma.github.io/Logging_2560/klagomål/A 34022-2022 FSC-klagomål.docx", "A 34022-2022")</f>
        <v/>
      </c>
      <c r="W56">
        <f>HYPERLINK("https://klasma.github.io/Logging_2560/klagomålsmail/A 34022-2022 FSC-klagomål mail.docx", "A 34022-2022")</f>
        <v/>
      </c>
      <c r="X56">
        <f>HYPERLINK("https://klasma.github.io/Logging_2560/tillsyn/A 34022-2022 tillsynsbegäran.docx", "A 34022-2022")</f>
        <v/>
      </c>
      <c r="Y56">
        <f>HYPERLINK("https://klasma.github.io/Logging_2560/tillsynsmail/A 34022-2022 tillsynsbegäran mail.docx", "A 34022-2022")</f>
        <v/>
      </c>
    </row>
    <row r="57" ht="15" customHeight="1">
      <c r="A57" t="inlineStr">
        <is>
          <t>A 38620-2022</t>
        </is>
      </c>
      <c r="B57" s="1" t="n">
        <v>44813</v>
      </c>
      <c r="C57" s="1" t="n">
        <v>45811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42680-2022</t>
        </is>
      </c>
      <c r="B58" s="1" t="n">
        <v>44832</v>
      </c>
      <c r="C58" s="1" t="n">
        <v>45811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44283-2022</t>
        </is>
      </c>
      <c r="B59" s="1" t="n">
        <v>44839</v>
      </c>
      <c r="C59" s="1" t="n">
        <v>45811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44283-2022 artfynd.xlsx", "A 44283-2022")</f>
        <v/>
      </c>
      <c r="T59">
        <f>HYPERLINK("https://klasma.github.io/Logging_2560/kartor/A 44283-2022 karta.png", "A 44283-2022")</f>
        <v/>
      </c>
      <c r="V59">
        <f>HYPERLINK("https://klasma.github.io/Logging_2560/klagomål/A 44283-2022 FSC-klagomål.docx", "A 44283-2022")</f>
        <v/>
      </c>
      <c r="W59">
        <f>HYPERLINK("https://klasma.github.io/Logging_2560/klagomålsmail/A 44283-2022 FSC-klagomål mail.docx", "A 44283-2022")</f>
        <v/>
      </c>
      <c r="X59">
        <f>HYPERLINK("https://klasma.github.io/Logging_2560/tillsyn/A 44283-2022 tillsynsbegäran.docx", "A 44283-2022")</f>
        <v/>
      </c>
      <c r="Y59">
        <f>HYPERLINK("https://klasma.github.io/Logging_2560/tillsynsmail/A 44283-2022 tillsynsbegäran mail.docx", "A 44283-2022")</f>
        <v/>
      </c>
    </row>
    <row r="60" ht="15" customHeight="1">
      <c r="A60" t="inlineStr">
        <is>
          <t>A 31829-2023</t>
        </is>
      </c>
      <c r="B60" s="1" t="n">
        <v>45106</v>
      </c>
      <c r="C60" s="1" t="n">
        <v>45811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HYPERLINK("https://klasma.github.io/Logging_2560/artfynd/A 31829-2023 artfynd.xlsx", "A 31829-2023")</f>
        <v/>
      </c>
      <c r="T60">
        <f>HYPERLINK("https://klasma.github.io/Logging_2560/kartor/A 31829-2023 karta.png", "A 31829-2023")</f>
        <v/>
      </c>
      <c r="V60">
        <f>HYPERLINK("https://klasma.github.io/Logging_2560/klagomål/A 31829-2023 FSC-klagomål.docx", "A 31829-2023")</f>
        <v/>
      </c>
      <c r="W60">
        <f>HYPERLINK("https://klasma.github.io/Logging_2560/klagomålsmail/A 31829-2023 FSC-klagomål mail.docx", "A 31829-2023")</f>
        <v/>
      </c>
      <c r="X60">
        <f>HYPERLINK("https://klasma.github.io/Logging_2560/tillsyn/A 31829-2023 tillsynsbegäran.docx", "A 31829-2023")</f>
        <v/>
      </c>
      <c r="Y60">
        <f>HYPERLINK("https://klasma.github.io/Logging_2560/tillsynsmail/A 31829-2023 tillsynsbegäran mail.docx", "A 31829-2023")</f>
        <v/>
      </c>
      <c r="Z60">
        <f>HYPERLINK("https://klasma.github.io/Logging_2560/fåglar/A 31829-2023 prioriterade fågelarter.docx", "A 31829-2023")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45811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45811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45811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45811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45811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45811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45811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45811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45811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45811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45811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45811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45811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45811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45811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45811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HYPERLINK("https://klasma.github.io/Logging_252560/artfynd/A 23790-2025 artfynd.xlsx", "A 23790-2025")</f>
        <v/>
      </c>
      <c r="T76">
        <f>HYPERLINK("https://klasma.github.io/Logging_252560/kartor/A 23790-2025 karta.png", "A 23790-2025")</f>
        <v/>
      </c>
      <c r="V76">
        <f>HYPERLINK("https://klasma.github.io/Logging_252560/klagomål/A 23790-2025 FSC-klagomål.docx", "A 23790-2025")</f>
        <v/>
      </c>
      <c r="W76">
        <f>HYPERLINK("https://klasma.github.io/Logging_252560/klagomålsmail/A 23790-2025 FSC-klagomål mail.docx", "A 23790-2025")</f>
        <v/>
      </c>
      <c r="X76">
        <f>HYPERLINK("https://klasma.github.io/Logging_252560/tillsyn/A 23790-2025 tillsynsbegäran.docx", "A 23790-2025")</f>
        <v/>
      </c>
      <c r="Y76">
        <f>HYPERLINK("https://klasma.github.io/Logging_252560/tillsynsmail/A 23790-2025 tillsynsbegäran mail.docx", "A 23790-2025")</f>
        <v/>
      </c>
    </row>
    <row r="77" ht="15" customHeight="1">
      <c r="A77" t="inlineStr">
        <is>
          <t>A 23610-2019</t>
        </is>
      </c>
      <c r="B77" s="1" t="n">
        <v>43594</v>
      </c>
      <c r="C77" s="1" t="n">
        <v>45811</v>
      </c>
      <c r="D77" t="inlineStr">
        <is>
          <t>NORRBOTTENS LÄN</t>
        </is>
      </c>
      <c r="E77" t="inlineStr">
        <is>
          <t>ÄLVSBYN</t>
        </is>
      </c>
      <c r="F77" t="inlineStr">
        <is>
          <t>Kommuner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23647-2019</t>
        </is>
      </c>
      <c r="B78" s="1" t="n">
        <v>43594</v>
      </c>
      <c r="C78" s="1" t="n">
        <v>45811</v>
      </c>
      <c r="D78" t="inlineStr">
        <is>
          <t>NORRBOTTENS LÄN</t>
        </is>
      </c>
      <c r="E78" t="inlineStr">
        <is>
          <t>ÄLVSBYN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23642-2019</t>
        </is>
      </c>
      <c r="B79" s="1" t="n">
        <v>43594</v>
      </c>
      <c r="C79" s="1" t="n">
        <v>45811</v>
      </c>
      <c r="D79" t="inlineStr">
        <is>
          <t>NORRBOTTENS LÄN</t>
        </is>
      </c>
      <c r="E79" t="inlineStr">
        <is>
          <t>ÄLVSBYN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24129-2019</t>
        </is>
      </c>
      <c r="B80" s="1" t="n">
        <v>43598</v>
      </c>
      <c r="C80" s="1" t="n">
        <v>45811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25214-2019</t>
        </is>
      </c>
      <c r="B81" s="1" t="n">
        <v>43600</v>
      </c>
      <c r="C81" s="1" t="n">
        <v>45811</v>
      </c>
      <c r="D81" t="inlineStr">
        <is>
          <t>NORRBOTTENS LÄN</t>
        </is>
      </c>
      <c r="E81" t="inlineStr">
        <is>
          <t>ÄLVSBYN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26818-2019</t>
        </is>
      </c>
      <c r="B82" s="1" t="n">
        <v>43607</v>
      </c>
      <c r="C82" s="1" t="n">
        <v>45811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27233-2019</t>
        </is>
      </c>
      <c r="B83" s="1" t="n">
        <v>43614</v>
      </c>
      <c r="C83" s="1" t="n">
        <v>45811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34165-2019</t>
        </is>
      </c>
      <c r="B84" s="1" t="n">
        <v>43655</v>
      </c>
      <c r="C84" s="1" t="n">
        <v>45811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36781-2019</t>
        </is>
      </c>
      <c r="B85" s="1" t="n">
        <v>43672</v>
      </c>
      <c r="C85" s="1" t="n">
        <v>45811</v>
      </c>
      <c r="D85" t="inlineStr">
        <is>
          <t>NORRBOTTENS LÄN</t>
        </is>
      </c>
      <c r="E85" t="inlineStr">
        <is>
          <t>ÄLVSBYN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37311-2019</t>
        </is>
      </c>
      <c r="B86" s="1" t="n">
        <v>43677</v>
      </c>
      <c r="C86" s="1" t="n">
        <v>45811</v>
      </c>
      <c r="D86" t="inlineStr">
        <is>
          <t>NORRBOTTENS LÄN</t>
        </is>
      </c>
      <c r="E86" t="inlineStr">
        <is>
          <t>ÄLVSBYN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37313-2019</t>
        </is>
      </c>
      <c r="B87" s="1" t="n">
        <v>43677</v>
      </c>
      <c r="C87" s="1" t="n">
        <v>45811</v>
      </c>
      <c r="D87" t="inlineStr">
        <is>
          <t>NORRBOTTENS LÄN</t>
        </is>
      </c>
      <c r="E87" t="inlineStr">
        <is>
          <t>ÄLVSBYN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39333-2019</t>
        </is>
      </c>
      <c r="B88" s="1" t="n">
        <v>43690</v>
      </c>
      <c r="C88" s="1" t="n">
        <v>45811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39670-2019</t>
        </is>
      </c>
      <c r="B89" s="1" t="n">
        <v>43691</v>
      </c>
      <c r="C89" s="1" t="n">
        <v>45811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42887-2019</t>
        </is>
      </c>
      <c r="B90" s="1" t="n">
        <v>43705</v>
      </c>
      <c r="C90" s="1" t="n">
        <v>45811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45428-2019</t>
        </is>
      </c>
      <c r="B91" s="1" t="n">
        <v>43710</v>
      </c>
      <c r="C91" s="1" t="n">
        <v>45811</v>
      </c>
      <c r="D91" t="inlineStr">
        <is>
          <t>NORRBOTTENS LÄN</t>
        </is>
      </c>
      <c r="E91" t="inlineStr">
        <is>
          <t>ÄLVSBYN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45337-2019</t>
        </is>
      </c>
      <c r="B92" s="1" t="n">
        <v>43710</v>
      </c>
      <c r="C92" s="1" t="n">
        <v>45811</v>
      </c>
      <c r="D92" t="inlineStr">
        <is>
          <t>NORRBOTTENS LÄN</t>
        </is>
      </c>
      <c r="E92" t="inlineStr">
        <is>
          <t>ÄLVSBYN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44641-2019</t>
        </is>
      </c>
      <c r="B93" s="1" t="n">
        <v>43712</v>
      </c>
      <c r="C93" s="1" t="n">
        <v>45811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45130-2019</t>
        </is>
      </c>
      <c r="B94" s="1" t="n">
        <v>43713</v>
      </c>
      <c r="C94" s="1" t="n">
        <v>45811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45185-2019</t>
        </is>
      </c>
      <c r="B95" s="1" t="n">
        <v>43713</v>
      </c>
      <c r="C95" s="1" t="n">
        <v>45811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45184-2019</t>
        </is>
      </c>
      <c r="B96" s="1" t="n">
        <v>43713</v>
      </c>
      <c r="C96" s="1" t="n">
        <v>45811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46362-2019</t>
        </is>
      </c>
      <c r="B97" s="1" t="n">
        <v>43718</v>
      </c>
      <c r="C97" s="1" t="n">
        <v>45811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46363-2019</t>
        </is>
      </c>
      <c r="B98" s="1" t="n">
        <v>43718</v>
      </c>
      <c r="C98" s="1" t="n">
        <v>45811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47099-2019</t>
        </is>
      </c>
      <c r="B99" s="1" t="n">
        <v>43721</v>
      </c>
      <c r="C99" s="1" t="n">
        <v>45811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48608-2019</t>
        </is>
      </c>
      <c r="B100" s="1" t="n">
        <v>43727</v>
      </c>
      <c r="C100" s="1" t="n">
        <v>45811</v>
      </c>
      <c r="D100" t="inlineStr">
        <is>
          <t>NORRBOTTENS LÄN</t>
        </is>
      </c>
      <c r="E100" t="inlineStr">
        <is>
          <t>ÄLVSBYN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51067-2019</t>
        </is>
      </c>
      <c r="B101" s="1" t="n">
        <v>43739</v>
      </c>
      <c r="C101" s="1" t="n">
        <v>45811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53821-2019</t>
        </is>
      </c>
      <c r="B102" s="1" t="n">
        <v>43742</v>
      </c>
      <c r="C102" s="1" t="n">
        <v>45811</v>
      </c>
      <c r="D102" t="inlineStr">
        <is>
          <t>NORRBOTTENS LÄN</t>
        </is>
      </c>
      <c r="E102" t="inlineStr">
        <is>
          <t>ÄLVSBYN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54007-2019</t>
        </is>
      </c>
      <c r="B103" s="1" t="n">
        <v>43742</v>
      </c>
      <c r="C103" s="1" t="n">
        <v>45811</v>
      </c>
      <c r="D103" t="inlineStr">
        <is>
          <t>NORRBOTTENS LÄN</t>
        </is>
      </c>
      <c r="E103" t="inlineStr">
        <is>
          <t>ÄLVSBYN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53818-2019</t>
        </is>
      </c>
      <c r="B104" s="1" t="n">
        <v>43752</v>
      </c>
      <c r="C104" s="1" t="n">
        <v>45811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59343-2019</t>
        </is>
      </c>
      <c r="B105" s="1" t="n">
        <v>43770</v>
      </c>
      <c r="C105" s="1" t="n">
        <v>45811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59263-2019</t>
        </is>
      </c>
      <c r="B106" s="1" t="n">
        <v>43773</v>
      </c>
      <c r="C106" s="1" t="n">
        <v>45811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61696-2019</t>
        </is>
      </c>
      <c r="B107" s="1" t="n">
        <v>43780</v>
      </c>
      <c r="C107" s="1" t="n">
        <v>45811</v>
      </c>
      <c r="D107" t="inlineStr">
        <is>
          <t>NORRBOTTENS LÄN</t>
        </is>
      </c>
      <c r="E107" t="inlineStr">
        <is>
          <t>ÄLVSBYN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63602-2019</t>
        </is>
      </c>
      <c r="B108" s="1" t="n">
        <v>43789</v>
      </c>
      <c r="C108" s="1" t="n">
        <v>45811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65482-2019</t>
        </is>
      </c>
      <c r="B109" s="1" t="n">
        <v>43803</v>
      </c>
      <c r="C109" s="1" t="n">
        <v>45811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66403-2019</t>
        </is>
      </c>
      <c r="B110" s="1" t="n">
        <v>43809</v>
      </c>
      <c r="C110" s="1" t="n">
        <v>45811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68991-2019</t>
        </is>
      </c>
      <c r="B111" s="1" t="n">
        <v>43818</v>
      </c>
      <c r="C111" s="1" t="n">
        <v>45811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68670-2019</t>
        </is>
      </c>
      <c r="B112" s="1" t="n">
        <v>43818</v>
      </c>
      <c r="C112" s="1" t="n">
        <v>45811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68498-2019</t>
        </is>
      </c>
      <c r="B113" s="1" t="n">
        <v>43818</v>
      </c>
      <c r="C113" s="1" t="n">
        <v>45811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1661-2020</t>
        </is>
      </c>
      <c r="B114" s="1" t="n">
        <v>43832</v>
      </c>
      <c r="C114" s="1" t="n">
        <v>45811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2133-2020</t>
        </is>
      </c>
      <c r="B115" s="1" t="n">
        <v>43839</v>
      </c>
      <c r="C115" s="1" t="n">
        <v>45811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2129-2020</t>
        </is>
      </c>
      <c r="B116" s="1" t="n">
        <v>43839</v>
      </c>
      <c r="C116" s="1" t="n">
        <v>45811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7019-2020</t>
        </is>
      </c>
      <c r="B117" s="1" t="n">
        <v>43868</v>
      </c>
      <c r="C117" s="1" t="n">
        <v>45811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16705-2020</t>
        </is>
      </c>
      <c r="B118" s="1" t="n">
        <v>43908</v>
      </c>
      <c r="C118" s="1" t="n">
        <v>45811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17786-2020</t>
        </is>
      </c>
      <c r="B119" s="1" t="n">
        <v>43922</v>
      </c>
      <c r="C119" s="1" t="n">
        <v>45811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18866-2020</t>
        </is>
      </c>
      <c r="B120" s="1" t="n">
        <v>43930</v>
      </c>
      <c r="C120" s="1" t="n">
        <v>45811</v>
      </c>
      <c r="D120" t="inlineStr">
        <is>
          <t>NORRBOTTENS LÄN</t>
        </is>
      </c>
      <c r="E120" t="inlineStr">
        <is>
          <t>ÄLVSBYN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22470-2020</t>
        </is>
      </c>
      <c r="B121" s="1" t="n">
        <v>43963</v>
      </c>
      <c r="C121" s="1" t="n">
        <v>45811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31241-2020</t>
        </is>
      </c>
      <c r="B122" s="1" t="n">
        <v>44012</v>
      </c>
      <c r="C122" s="1" t="n">
        <v>45811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35323-2020</t>
        </is>
      </c>
      <c r="B123" s="1" t="n">
        <v>44041</v>
      </c>
      <c r="C123" s="1" t="n">
        <v>45811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37955-2020</t>
        </is>
      </c>
      <c r="B124" s="1" t="n">
        <v>44057</v>
      </c>
      <c r="C124" s="1" t="n">
        <v>45811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44523-2020</t>
        </is>
      </c>
      <c r="B125" s="1" t="n">
        <v>44085</v>
      </c>
      <c r="C125" s="1" t="n">
        <v>45811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44685-2020</t>
        </is>
      </c>
      <c r="B126" s="1" t="n">
        <v>44085</v>
      </c>
      <c r="C126" s="1" t="n">
        <v>45811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44682-2020</t>
        </is>
      </c>
      <c r="B127" s="1" t="n">
        <v>44085</v>
      </c>
      <c r="C127" s="1" t="n">
        <v>45811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44716-2020</t>
        </is>
      </c>
      <c r="B128" s="1" t="n">
        <v>44085</v>
      </c>
      <c r="C128" s="1" t="n">
        <v>45811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44756-2020</t>
        </is>
      </c>
      <c r="B129" s="1" t="n">
        <v>44085</v>
      </c>
      <c r="C129" s="1" t="n">
        <v>45811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44758-2020</t>
        </is>
      </c>
      <c r="B130" s="1" t="n">
        <v>44085</v>
      </c>
      <c r="C130" s="1" t="n">
        <v>45811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45627-2020</t>
        </is>
      </c>
      <c r="B131" s="1" t="n">
        <v>44090</v>
      </c>
      <c r="C131" s="1" t="n">
        <v>45811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46299-2020</t>
        </is>
      </c>
      <c r="B132" s="1" t="n">
        <v>44092</v>
      </c>
      <c r="C132" s="1" t="n">
        <v>45811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49319-2020</t>
        </is>
      </c>
      <c r="B133" s="1" t="n">
        <v>44102</v>
      </c>
      <c r="C133" s="1" t="n">
        <v>45811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49730-2020</t>
        </is>
      </c>
      <c r="B134" s="1" t="n">
        <v>44103</v>
      </c>
      <c r="C134" s="1" t="n">
        <v>45811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45811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54418-2020</t>
        </is>
      </c>
      <c r="B136" s="1" t="n">
        <v>44125</v>
      </c>
      <c r="C136" s="1" t="n">
        <v>45811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54412-2020</t>
        </is>
      </c>
      <c r="B137" s="1" t="n">
        <v>44125</v>
      </c>
      <c r="C137" s="1" t="n">
        <v>45811</v>
      </c>
      <c r="D137" t="inlineStr">
        <is>
          <t>NORRBOTTENS LÄN</t>
        </is>
      </c>
      <c r="E137" t="inlineStr">
        <is>
          <t>ÄLVSBYN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55873-2020</t>
        </is>
      </c>
      <c r="B138" s="1" t="n">
        <v>44131</v>
      </c>
      <c r="C138" s="1" t="n">
        <v>45811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59153-2020</t>
        </is>
      </c>
      <c r="B139" s="1" t="n">
        <v>44147</v>
      </c>
      <c r="C139" s="1" t="n">
        <v>45811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59464-2020</t>
        </is>
      </c>
      <c r="B140" s="1" t="n">
        <v>44148</v>
      </c>
      <c r="C140" s="1" t="n">
        <v>45811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66296-2020</t>
        </is>
      </c>
      <c r="B141" s="1" t="n">
        <v>44174</v>
      </c>
      <c r="C141" s="1" t="n">
        <v>45811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5455-2021</t>
        </is>
      </c>
      <c r="B142" s="1" t="n">
        <v>44229</v>
      </c>
      <c r="C142" s="1" t="n">
        <v>45811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5410-2021</t>
        </is>
      </c>
      <c r="B143" s="1" t="n">
        <v>44229</v>
      </c>
      <c r="C143" s="1" t="n">
        <v>45811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8847-2021</t>
        </is>
      </c>
      <c r="B144" s="1" t="n">
        <v>44246</v>
      </c>
      <c r="C144" s="1" t="n">
        <v>45811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12950-2021</t>
        </is>
      </c>
      <c r="B145" s="1" t="n">
        <v>44271</v>
      </c>
      <c r="C145" s="1" t="n">
        <v>45811</v>
      </c>
      <c r="D145" t="inlineStr">
        <is>
          <t>NORRBOTTENS LÄN</t>
        </is>
      </c>
      <c r="E145" t="inlineStr">
        <is>
          <t>ÄLVSBYN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14866-2021</t>
        </is>
      </c>
      <c r="B146" s="1" t="n">
        <v>44280</v>
      </c>
      <c r="C146" s="1" t="n">
        <v>45811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14863-2021</t>
        </is>
      </c>
      <c r="B147" s="1" t="n">
        <v>44280</v>
      </c>
      <c r="C147" s="1" t="n">
        <v>45811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14864-2021</t>
        </is>
      </c>
      <c r="B148" s="1" t="n">
        <v>44280</v>
      </c>
      <c r="C148" s="1" t="n">
        <v>45811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17784-2021</t>
        </is>
      </c>
      <c r="B149" s="1" t="n">
        <v>44300</v>
      </c>
      <c r="C149" s="1" t="n">
        <v>45811</v>
      </c>
      <c r="D149" t="inlineStr">
        <is>
          <t>NORRBOTTENS LÄN</t>
        </is>
      </c>
      <c r="E149" t="inlineStr">
        <is>
          <t>ÄLVSBYN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19294-2021</t>
        </is>
      </c>
      <c r="B150" s="1" t="n">
        <v>44308</v>
      </c>
      <c r="C150" s="1" t="n">
        <v>45811</v>
      </c>
      <c r="D150" t="inlineStr">
        <is>
          <t>NORRBOTTENS LÄN</t>
        </is>
      </c>
      <c r="E150" t="inlineStr">
        <is>
          <t>ÄLVSBYN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19270-2021</t>
        </is>
      </c>
      <c r="B151" s="1" t="n">
        <v>44308</v>
      </c>
      <c r="C151" s="1" t="n">
        <v>45811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23063-2021</t>
        </is>
      </c>
      <c r="B152" s="1" t="n">
        <v>44329</v>
      </c>
      <c r="C152" s="1" t="n">
        <v>45811</v>
      </c>
      <c r="D152" t="inlineStr">
        <is>
          <t>NORRBOTTENS LÄN</t>
        </is>
      </c>
      <c r="E152" t="inlineStr">
        <is>
          <t>ÄLVSBYN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24990-2021</t>
        </is>
      </c>
      <c r="B153" s="1" t="n">
        <v>44341</v>
      </c>
      <c r="C153" s="1" t="n">
        <v>45811</v>
      </c>
      <c r="D153" t="inlineStr">
        <is>
          <t>NORRBOTTENS LÄN</t>
        </is>
      </c>
      <c r="E153" t="inlineStr">
        <is>
          <t>ÄLVSBYN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25360-2021</t>
        </is>
      </c>
      <c r="B154" s="1" t="n">
        <v>44342</v>
      </c>
      <c r="C154" s="1" t="n">
        <v>45811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33823-2021</t>
        </is>
      </c>
      <c r="B155" s="1" t="n">
        <v>44378</v>
      </c>
      <c r="C155" s="1" t="n">
        <v>45811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41386-2021</t>
        </is>
      </c>
      <c r="B156" s="1" t="n">
        <v>44424</v>
      </c>
      <c r="C156" s="1" t="n">
        <v>45811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43005-2021</t>
        </is>
      </c>
      <c r="B157" s="1" t="n">
        <v>44431</v>
      </c>
      <c r="C157" s="1" t="n">
        <v>45811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45603-2021</t>
        </is>
      </c>
      <c r="B158" s="1" t="n">
        <v>44440</v>
      </c>
      <c r="C158" s="1" t="n">
        <v>45811</v>
      </c>
      <c r="D158" t="inlineStr">
        <is>
          <t>NORRBOTTENS LÄN</t>
        </is>
      </c>
      <c r="E158" t="inlineStr">
        <is>
          <t>ÄLVSBYN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46881-2021</t>
        </is>
      </c>
      <c r="B159" s="1" t="n">
        <v>44446</v>
      </c>
      <c r="C159" s="1" t="n">
        <v>45811</v>
      </c>
      <c r="D159" t="inlineStr">
        <is>
          <t>NORRBOTTENS LÄN</t>
        </is>
      </c>
      <c r="E159" t="inlineStr">
        <is>
          <t>ÄLVSBYN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47046-2021</t>
        </is>
      </c>
      <c r="B160" s="1" t="n">
        <v>44446</v>
      </c>
      <c r="C160" s="1" t="n">
        <v>45811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47695-2021</t>
        </is>
      </c>
      <c r="B161" s="1" t="n">
        <v>44448</v>
      </c>
      <c r="C161" s="1" t="n">
        <v>45811</v>
      </c>
      <c r="D161" t="inlineStr">
        <is>
          <t>NORRBOTTENS LÄN</t>
        </is>
      </c>
      <c r="E161" t="inlineStr">
        <is>
          <t>ÄLVSBYN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48103-2021</t>
        </is>
      </c>
      <c r="B162" s="1" t="n">
        <v>44449</v>
      </c>
      <c r="C162" s="1" t="n">
        <v>45811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49773-2021</t>
        </is>
      </c>
      <c r="B163" s="1" t="n">
        <v>44455</v>
      </c>
      <c r="C163" s="1" t="n">
        <v>45811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49843-2021</t>
        </is>
      </c>
      <c r="B164" s="1" t="n">
        <v>44455</v>
      </c>
      <c r="C164" s="1" t="n">
        <v>45811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50917-2021</t>
        </is>
      </c>
      <c r="B165" s="1" t="n">
        <v>44460</v>
      </c>
      <c r="C165" s="1" t="n">
        <v>45811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45811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50924-2021</t>
        </is>
      </c>
      <c r="B167" s="1" t="n">
        <v>44460</v>
      </c>
      <c r="C167" s="1" t="n">
        <v>45811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50744-2021</t>
        </is>
      </c>
      <c r="B168" s="1" t="n">
        <v>44460</v>
      </c>
      <c r="C168" s="1" t="n">
        <v>45811</v>
      </c>
      <c r="D168" t="inlineStr">
        <is>
          <t>NORRBOTTENS LÄN</t>
        </is>
      </c>
      <c r="E168" t="inlineStr">
        <is>
          <t>ÄLVSBYN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51540-2021</t>
        </is>
      </c>
      <c r="B169" s="1" t="n">
        <v>44462</v>
      </c>
      <c r="C169" s="1" t="n">
        <v>45811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51829-2021</t>
        </is>
      </c>
      <c r="B170" s="1" t="n">
        <v>44462</v>
      </c>
      <c r="C170" s="1" t="n">
        <v>45811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51825-2021</t>
        </is>
      </c>
      <c r="B171" s="1" t="n">
        <v>44462</v>
      </c>
      <c r="C171" s="1" t="n">
        <v>45811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45811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51993-2021</t>
        </is>
      </c>
      <c r="B173" s="1" t="n">
        <v>44463</v>
      </c>
      <c r="C173" s="1" t="n">
        <v>45811</v>
      </c>
      <c r="D173" t="inlineStr">
        <is>
          <t>NORRBOTTENS LÄN</t>
        </is>
      </c>
      <c r="E173" t="inlineStr">
        <is>
          <t>ÄLVSBYN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51998-2021</t>
        </is>
      </c>
      <c r="B174" s="1" t="n">
        <v>44463</v>
      </c>
      <c r="C174" s="1" t="n">
        <v>45811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52253-2021</t>
        </is>
      </c>
      <c r="B175" s="1" t="n">
        <v>44463</v>
      </c>
      <c r="C175" s="1" t="n">
        <v>45811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52716-2021</t>
        </is>
      </c>
      <c r="B176" s="1" t="n">
        <v>44466</v>
      </c>
      <c r="C176" s="1" t="n">
        <v>45811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54804-2021</t>
        </is>
      </c>
      <c r="B177" s="1" t="n">
        <v>44473</v>
      </c>
      <c r="C177" s="1" t="n">
        <v>45811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54803-2021</t>
        </is>
      </c>
      <c r="B178" s="1" t="n">
        <v>44474</v>
      </c>
      <c r="C178" s="1" t="n">
        <v>45811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55775-2021</t>
        </is>
      </c>
      <c r="B179" s="1" t="n">
        <v>44476</v>
      </c>
      <c r="C179" s="1" t="n">
        <v>45811</v>
      </c>
      <c r="D179" t="inlineStr">
        <is>
          <t>NORRBOTTENS LÄN</t>
        </is>
      </c>
      <c r="E179" t="inlineStr">
        <is>
          <t>ÄLVSBYN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57816-2021</t>
        </is>
      </c>
      <c r="B180" s="1" t="n">
        <v>44484</v>
      </c>
      <c r="C180" s="1" t="n">
        <v>45811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58532-2021</t>
        </is>
      </c>
      <c r="B181" s="1" t="n">
        <v>44488</v>
      </c>
      <c r="C181" s="1" t="n">
        <v>45811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59483-2021</t>
        </is>
      </c>
      <c r="B182" s="1" t="n">
        <v>44491</v>
      </c>
      <c r="C182" s="1" t="n">
        <v>45811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59487-2021</t>
        </is>
      </c>
      <c r="B183" s="1" t="n">
        <v>44491</v>
      </c>
      <c r="C183" s="1" t="n">
        <v>45811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45811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59742-2021</t>
        </is>
      </c>
      <c r="B185" s="1" t="n">
        <v>44494</v>
      </c>
      <c r="C185" s="1" t="n">
        <v>45811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60030-2021</t>
        </is>
      </c>
      <c r="B186" s="1" t="n">
        <v>44494</v>
      </c>
      <c r="C186" s="1" t="n">
        <v>45811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65410-2021</t>
        </is>
      </c>
      <c r="B187" s="1" t="n">
        <v>44515</v>
      </c>
      <c r="C187" s="1" t="n">
        <v>45811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67103-2021</t>
        </is>
      </c>
      <c r="B188" s="1" t="n">
        <v>44522</v>
      </c>
      <c r="C188" s="1" t="n">
        <v>45811</v>
      </c>
      <c r="D188" t="inlineStr">
        <is>
          <t>NORRBOTTENS LÄN</t>
        </is>
      </c>
      <c r="E188" t="inlineStr">
        <is>
          <t>ÄLVSBYN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67106-2021</t>
        </is>
      </c>
      <c r="B189" s="1" t="n">
        <v>44522</v>
      </c>
      <c r="C189" s="1" t="n">
        <v>45811</v>
      </c>
      <c r="D189" t="inlineStr">
        <is>
          <t>NORRBOTTENS LÄN</t>
        </is>
      </c>
      <c r="E189" t="inlineStr">
        <is>
          <t>ÄLVSBYN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69314-2021</t>
        </is>
      </c>
      <c r="B190" s="1" t="n">
        <v>44531</v>
      </c>
      <c r="C190" s="1" t="n">
        <v>45811</v>
      </c>
      <c r="D190" t="inlineStr">
        <is>
          <t>NORRBOTTENS LÄN</t>
        </is>
      </c>
      <c r="E190" t="inlineStr">
        <is>
          <t>ÄLVSBYN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71925-2021</t>
        </is>
      </c>
      <c r="B191" s="1" t="n">
        <v>44543</v>
      </c>
      <c r="C191" s="1" t="n">
        <v>45811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71923-2021</t>
        </is>
      </c>
      <c r="B192" s="1" t="n">
        <v>44543</v>
      </c>
      <c r="C192" s="1" t="n">
        <v>45811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71939-2021</t>
        </is>
      </c>
      <c r="B193" s="1" t="n">
        <v>44543</v>
      </c>
      <c r="C193" s="1" t="n">
        <v>45811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72951-2021</t>
        </is>
      </c>
      <c r="B194" s="1" t="n">
        <v>44547</v>
      </c>
      <c r="C194" s="1" t="n">
        <v>45811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73589-2021</t>
        </is>
      </c>
      <c r="B195" s="1" t="n">
        <v>44552</v>
      </c>
      <c r="C195" s="1" t="n">
        <v>45811</v>
      </c>
      <c r="D195" t="inlineStr">
        <is>
          <t>NORRBOTTENS LÄN</t>
        </is>
      </c>
      <c r="E195" t="inlineStr">
        <is>
          <t>ÄLVSBYN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73648-2021</t>
        </is>
      </c>
      <c r="B196" s="1" t="n">
        <v>44552</v>
      </c>
      <c r="C196" s="1" t="n">
        <v>45811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73774-2021</t>
        </is>
      </c>
      <c r="B197" s="1" t="n">
        <v>44552</v>
      </c>
      <c r="C197" s="1" t="n">
        <v>45811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</v>
      </c>
      <c r="C198" s="1" t="n">
        <v>45811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6028-2022</t>
        </is>
      </c>
      <c r="B199" s="1" t="n">
        <v>44599</v>
      </c>
      <c r="C199" s="1" t="n">
        <v>45811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6820-2022</t>
        </is>
      </c>
      <c r="B200" s="1" t="n">
        <v>44602</v>
      </c>
      <c r="C200" s="1" t="n">
        <v>45811</v>
      </c>
      <c r="D200" t="inlineStr">
        <is>
          <t>NORRBOTTENS LÄN</t>
        </is>
      </c>
      <c r="E200" t="inlineStr">
        <is>
          <t>ÄLVSBYN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6831-2022</t>
        </is>
      </c>
      <c r="B201" s="1" t="n">
        <v>44602</v>
      </c>
      <c r="C201" s="1" t="n">
        <v>45811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9333-2022</t>
        </is>
      </c>
      <c r="B202" s="1" t="n">
        <v>44616</v>
      </c>
      <c r="C202" s="1" t="n">
        <v>45811</v>
      </c>
      <c r="D202" t="inlineStr">
        <is>
          <t>NORRBOTTENS LÄN</t>
        </is>
      </c>
      <c r="E202" t="inlineStr">
        <is>
          <t>ÄLVSBYN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9643-2022</t>
        </is>
      </c>
      <c r="B203" s="1" t="n">
        <v>44617</v>
      </c>
      <c r="C203" s="1" t="n">
        <v>45811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9623-2022</t>
        </is>
      </c>
      <c r="B204" s="1" t="n">
        <v>44617</v>
      </c>
      <c r="C204" s="1" t="n">
        <v>45811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9631-2022</t>
        </is>
      </c>
      <c r="B205" s="1" t="n">
        <v>44617</v>
      </c>
      <c r="C205" s="1" t="n">
        <v>45811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9618-2022</t>
        </is>
      </c>
      <c r="B206" s="1" t="n">
        <v>44617</v>
      </c>
      <c r="C206" s="1" t="n">
        <v>45811</v>
      </c>
      <c r="D206" t="inlineStr">
        <is>
          <t>NORRBOTTENS LÄN</t>
        </is>
      </c>
      <c r="E206" t="inlineStr">
        <is>
          <t>ÄLVSBYN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9634-2022</t>
        </is>
      </c>
      <c r="B207" s="1" t="n">
        <v>44617</v>
      </c>
      <c r="C207" s="1" t="n">
        <v>45811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10812-2022</t>
        </is>
      </c>
      <c r="B208" s="1" t="n">
        <v>44627</v>
      </c>
      <c r="C208" s="1" t="n">
        <v>45811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11477-2022</t>
        </is>
      </c>
      <c r="B209" s="1" t="n">
        <v>44630</v>
      </c>
      <c r="C209" s="1" t="n">
        <v>45811</v>
      </c>
      <c r="D209" t="inlineStr">
        <is>
          <t>NORRBOTTENS LÄN</t>
        </is>
      </c>
      <c r="E209" t="inlineStr">
        <is>
          <t>ÄLVSBYN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12156-2022</t>
        </is>
      </c>
      <c r="B210" s="1" t="n">
        <v>44636</v>
      </c>
      <c r="C210" s="1" t="n">
        <v>45811</v>
      </c>
      <c r="D210" t="inlineStr">
        <is>
          <t>NORRBOTTENS LÄN</t>
        </is>
      </c>
      <c r="E210" t="inlineStr">
        <is>
          <t>ÄLVSBYN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13456-2022</t>
        </is>
      </c>
      <c r="B211" s="1" t="n">
        <v>44645</v>
      </c>
      <c r="C211" s="1" t="n">
        <v>45811</v>
      </c>
      <c r="D211" t="inlineStr">
        <is>
          <t>NORRBOTTENS LÄN</t>
        </is>
      </c>
      <c r="E211" t="inlineStr">
        <is>
          <t>ÄLVSBYN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15526-2022</t>
        </is>
      </c>
      <c r="B212" s="1" t="n">
        <v>44662</v>
      </c>
      <c r="C212" s="1" t="n">
        <v>45811</v>
      </c>
      <c r="D212" t="inlineStr">
        <is>
          <t>NORRBOTTENS LÄN</t>
        </is>
      </c>
      <c r="E212" t="inlineStr">
        <is>
          <t>ÄLVSBYN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45811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18268-2022</t>
        </is>
      </c>
      <c r="B214" s="1" t="n">
        <v>44685</v>
      </c>
      <c r="C214" s="1" t="n">
        <v>45811</v>
      </c>
      <c r="D214" t="inlineStr">
        <is>
          <t>NORRBOTTENS LÄN</t>
        </is>
      </c>
      <c r="E214" t="inlineStr">
        <is>
          <t>ÄLVSBYN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18841-2022</t>
        </is>
      </c>
      <c r="B215" s="1" t="n">
        <v>44690</v>
      </c>
      <c r="C215" s="1" t="n">
        <v>45811</v>
      </c>
      <c r="D215" t="inlineStr">
        <is>
          <t>NORRBOTTENS LÄN</t>
        </is>
      </c>
      <c r="E215" t="inlineStr">
        <is>
          <t>ÄLVSBYN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19459-2022</t>
        </is>
      </c>
      <c r="B216" s="1" t="n">
        <v>44693</v>
      </c>
      <c r="C216" s="1" t="n">
        <v>45811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19746-2022</t>
        </is>
      </c>
      <c r="B217" s="1" t="n">
        <v>44694</v>
      </c>
      <c r="C217" s="1" t="n">
        <v>45811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19747-2022</t>
        </is>
      </c>
      <c r="B218" s="1" t="n">
        <v>44694</v>
      </c>
      <c r="C218" s="1" t="n">
        <v>45811</v>
      </c>
      <c r="D218" t="inlineStr">
        <is>
          <t>NORRBOTTENS LÄN</t>
        </is>
      </c>
      <c r="E218" t="inlineStr">
        <is>
          <t>ÄLVSBYN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20810-2022</t>
        </is>
      </c>
      <c r="B219" s="1" t="n">
        <v>44701</v>
      </c>
      <c r="C219" s="1" t="n">
        <v>45811</v>
      </c>
      <c r="D219" t="inlineStr">
        <is>
          <t>NORRBOTTENS LÄN</t>
        </is>
      </c>
      <c r="E219" t="inlineStr">
        <is>
          <t>ÄLVSBYN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21313-2022</t>
        </is>
      </c>
      <c r="B220" s="1" t="n">
        <v>44705</v>
      </c>
      <c r="C220" s="1" t="n">
        <v>45811</v>
      </c>
      <c r="D220" t="inlineStr">
        <is>
          <t>NORRBOTTENS LÄN</t>
        </is>
      </c>
      <c r="E220" t="inlineStr">
        <is>
          <t>ÄLVSBYN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22098-2022</t>
        </is>
      </c>
      <c r="B221" s="1" t="n">
        <v>44711</v>
      </c>
      <c r="C221" s="1" t="n">
        <v>45811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23536-2022</t>
        </is>
      </c>
      <c r="B222" s="1" t="n">
        <v>44721</v>
      </c>
      <c r="C222" s="1" t="n">
        <v>45811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23581-2022</t>
        </is>
      </c>
      <c r="B223" s="1" t="n">
        <v>44721</v>
      </c>
      <c r="C223" s="1" t="n">
        <v>45811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24665-2022</t>
        </is>
      </c>
      <c r="B224" s="1" t="n">
        <v>44727</v>
      </c>
      <c r="C224" s="1" t="n">
        <v>45811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24760-2022</t>
        </is>
      </c>
      <c r="B225" s="1" t="n">
        <v>44728</v>
      </c>
      <c r="C225" s="1" t="n">
        <v>45811</v>
      </c>
      <c r="D225" t="inlineStr">
        <is>
          <t>NORRBOTTENS LÄN</t>
        </is>
      </c>
      <c r="E225" t="inlineStr">
        <is>
          <t>ÄLVSBYN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45811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25449-2022</t>
        </is>
      </c>
      <c r="B227" s="1" t="n">
        <v>44732</v>
      </c>
      <c r="C227" s="1" t="n">
        <v>45811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26125-2022</t>
        </is>
      </c>
      <c r="B228" s="1" t="n">
        <v>44735</v>
      </c>
      <c r="C228" s="1" t="n">
        <v>45811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26406-2022</t>
        </is>
      </c>
      <c r="B229" s="1" t="n">
        <v>44736</v>
      </c>
      <c r="C229" s="1" t="n">
        <v>45811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26608-2022</t>
        </is>
      </c>
      <c r="B230" s="1" t="n">
        <v>44739</v>
      </c>
      <c r="C230" s="1" t="n">
        <v>45811</v>
      </c>
      <c r="D230" t="inlineStr">
        <is>
          <t>NORRBOTTENS LÄN</t>
        </is>
      </c>
      <c r="E230" t="inlineStr">
        <is>
          <t>ÄLVSBYN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26610-2022</t>
        </is>
      </c>
      <c r="B231" s="1" t="n">
        <v>44739</v>
      </c>
      <c r="C231" s="1" t="n">
        <v>45811</v>
      </c>
      <c r="D231" t="inlineStr">
        <is>
          <t>NORRBOTTENS LÄN</t>
        </is>
      </c>
      <c r="E231" t="inlineStr">
        <is>
          <t>ÄLVSBYN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26741-2022</t>
        </is>
      </c>
      <c r="B232" s="1" t="n">
        <v>44739</v>
      </c>
      <c r="C232" s="1" t="n">
        <v>45811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26579-2022</t>
        </is>
      </c>
      <c r="B233" s="1" t="n">
        <v>44739</v>
      </c>
      <c r="C233" s="1" t="n">
        <v>45811</v>
      </c>
      <c r="D233" t="inlineStr">
        <is>
          <t>NORRBOTTENS LÄN</t>
        </is>
      </c>
      <c r="E233" t="inlineStr">
        <is>
          <t>ÄLVSBYN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26740-2022</t>
        </is>
      </c>
      <c r="B234" s="1" t="n">
        <v>44739</v>
      </c>
      <c r="C234" s="1" t="n">
        <v>45811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27202-2022</t>
        </is>
      </c>
      <c r="B235" s="1" t="n">
        <v>44741</v>
      </c>
      <c r="C235" s="1" t="n">
        <v>45811</v>
      </c>
      <c r="D235" t="inlineStr">
        <is>
          <t>NORRBOTTENS LÄN</t>
        </is>
      </c>
      <c r="E235" t="inlineStr">
        <is>
          <t>ÄLVSBYN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44742</v>
      </c>
      <c r="C236" s="1" t="n">
        <v>45811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28637-2022</t>
        </is>
      </c>
      <c r="B237" s="1" t="n">
        <v>44748</v>
      </c>
      <c r="C237" s="1" t="n">
        <v>45811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29190-2022</t>
        </is>
      </c>
      <c r="B238" s="1" t="n">
        <v>44750</v>
      </c>
      <c r="C238" s="1" t="n">
        <v>45811</v>
      </c>
      <c r="D238" t="inlineStr">
        <is>
          <t>NORRBOTTENS LÄN</t>
        </is>
      </c>
      <c r="E238" t="inlineStr">
        <is>
          <t>ÄLVSBYN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29176-2022</t>
        </is>
      </c>
      <c r="B239" s="1" t="n">
        <v>44750</v>
      </c>
      <c r="C239" s="1" t="n">
        <v>45811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31322-2022</t>
        </is>
      </c>
      <c r="B240" s="1" t="n">
        <v>44774</v>
      </c>
      <c r="C240" s="1" t="n">
        <v>45811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32368-2022</t>
        </is>
      </c>
      <c r="B241" s="1" t="n">
        <v>44781</v>
      </c>
      <c r="C241" s="1" t="n">
        <v>45811</v>
      </c>
      <c r="D241" t="inlineStr">
        <is>
          <t>NORRBOTTENS LÄN</t>
        </is>
      </c>
      <c r="E241" t="inlineStr">
        <is>
          <t>ÄLVSBYN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32975-2022</t>
        </is>
      </c>
      <c r="B242" s="1" t="n">
        <v>44785</v>
      </c>
      <c r="C242" s="1" t="n">
        <v>45811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32977-2022</t>
        </is>
      </c>
      <c r="B243" s="1" t="n">
        <v>44785</v>
      </c>
      <c r="C243" s="1" t="n">
        <v>45811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33407-2022</t>
        </is>
      </c>
      <c r="B244" s="1" t="n">
        <v>44788</v>
      </c>
      <c r="C244" s="1" t="n">
        <v>45811</v>
      </c>
      <c r="D244" t="inlineStr">
        <is>
          <t>NORRBOTTENS LÄN</t>
        </is>
      </c>
      <c r="E244" t="inlineStr">
        <is>
          <t>ÄLVSBYN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45811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34013-2022</t>
        </is>
      </c>
      <c r="B246" s="1" t="n">
        <v>44790</v>
      </c>
      <c r="C246" s="1" t="n">
        <v>45811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34012-2022</t>
        </is>
      </c>
      <c r="B247" s="1" t="n">
        <v>44791</v>
      </c>
      <c r="C247" s="1" t="n">
        <v>45811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34656-2022</t>
        </is>
      </c>
      <c r="B248" s="1" t="n">
        <v>44795</v>
      </c>
      <c r="C248" s="1" t="n">
        <v>45811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34609-2022</t>
        </is>
      </c>
      <c r="B249" s="1" t="n">
        <v>44795</v>
      </c>
      <c r="C249" s="1" t="n">
        <v>45811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34863-2022</t>
        </is>
      </c>
      <c r="B250" s="1" t="n">
        <v>44795</v>
      </c>
      <c r="C250" s="1" t="n">
        <v>45811</v>
      </c>
      <c r="D250" t="inlineStr">
        <is>
          <t>NORRBOTTENS LÄN</t>
        </is>
      </c>
      <c r="E250" t="inlineStr">
        <is>
          <t>ÄLVSBYN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35238-2022</t>
        </is>
      </c>
      <c r="B251" s="1" t="n">
        <v>44798</v>
      </c>
      <c r="C251" s="1" t="n">
        <v>45811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35239-2022</t>
        </is>
      </c>
      <c r="B252" s="1" t="n">
        <v>44798</v>
      </c>
      <c r="C252" s="1" t="n">
        <v>45811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37731-2022</t>
        </is>
      </c>
      <c r="B253" s="1" t="n">
        <v>44810</v>
      </c>
      <c r="C253" s="1" t="n">
        <v>45811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38506-2022</t>
        </is>
      </c>
      <c r="B254" s="1" t="n">
        <v>44813</v>
      </c>
      <c r="C254" s="1" t="n">
        <v>45811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38490-2022</t>
        </is>
      </c>
      <c r="B255" s="1" t="n">
        <v>44813</v>
      </c>
      <c r="C255" s="1" t="n">
        <v>45811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39444-2022</t>
        </is>
      </c>
      <c r="B256" s="1" t="n">
        <v>44818</v>
      </c>
      <c r="C256" s="1" t="n">
        <v>45811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39914-2022</t>
        </is>
      </c>
      <c r="B257" s="1" t="n">
        <v>44819</v>
      </c>
      <c r="C257" s="1" t="n">
        <v>45811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40691-2022</t>
        </is>
      </c>
      <c r="B258" s="1" t="n">
        <v>44820</v>
      </c>
      <c r="C258" s="1" t="n">
        <v>45811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40560-2022</t>
        </is>
      </c>
      <c r="B259" s="1" t="n">
        <v>44823</v>
      </c>
      <c r="C259" s="1" t="n">
        <v>45811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40525-2022</t>
        </is>
      </c>
      <c r="B260" s="1" t="n">
        <v>44823</v>
      </c>
      <c r="C260" s="1" t="n">
        <v>45811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40781-2022</t>
        </is>
      </c>
      <c r="B261" s="1" t="n">
        <v>44824</v>
      </c>
      <c r="C261" s="1" t="n">
        <v>45811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41159-2022</t>
        </is>
      </c>
      <c r="B262" s="1" t="n">
        <v>44825</v>
      </c>
      <c r="C262" s="1" t="n">
        <v>45811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42805-2022</t>
        </is>
      </c>
      <c r="B263" s="1" t="n">
        <v>44832</v>
      </c>
      <c r="C263" s="1" t="n">
        <v>45811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43579-2022</t>
        </is>
      </c>
      <c r="B264" s="1" t="n">
        <v>44837</v>
      </c>
      <c r="C264" s="1" t="n">
        <v>45811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45707-2022</t>
        </is>
      </c>
      <c r="B265" s="1" t="n">
        <v>44846</v>
      </c>
      <c r="C265" s="1" t="n">
        <v>45811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46308-2022</t>
        </is>
      </c>
      <c r="B266" s="1" t="n">
        <v>44847</v>
      </c>
      <c r="C266" s="1" t="n">
        <v>45811</v>
      </c>
      <c r="D266" t="inlineStr">
        <is>
          <t>NORRBOTTENS LÄN</t>
        </is>
      </c>
      <c r="E266" t="inlineStr">
        <is>
          <t>ÄLVSBYN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46307-2022</t>
        </is>
      </c>
      <c r="B267" s="1" t="n">
        <v>44847</v>
      </c>
      <c r="C267" s="1" t="n">
        <v>45811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46980-2022</t>
        </is>
      </c>
      <c r="B268" s="1" t="n">
        <v>44851</v>
      </c>
      <c r="C268" s="1" t="n">
        <v>45811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47121-2022</t>
        </is>
      </c>
      <c r="B269" s="1" t="n">
        <v>44851</v>
      </c>
      <c r="C269" s="1" t="n">
        <v>45811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46979-2022</t>
        </is>
      </c>
      <c r="B270" s="1" t="n">
        <v>44852</v>
      </c>
      <c r="C270" s="1" t="n">
        <v>45811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47427-2022</t>
        </is>
      </c>
      <c r="B271" s="1" t="n">
        <v>44853</v>
      </c>
      <c r="C271" s="1" t="n">
        <v>45811</v>
      </c>
      <c r="D271" t="inlineStr">
        <is>
          <t>NORRBOTTENS LÄN</t>
        </is>
      </c>
      <c r="E271" t="inlineStr">
        <is>
          <t>ÄLVSBYN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47417-2022</t>
        </is>
      </c>
      <c r="B272" s="1" t="n">
        <v>44853</v>
      </c>
      <c r="C272" s="1" t="n">
        <v>45811</v>
      </c>
      <c r="D272" t="inlineStr">
        <is>
          <t>NORRBOTTENS LÄN</t>
        </is>
      </c>
      <c r="E272" t="inlineStr">
        <is>
          <t>ÄLVSBYN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48742-2022</t>
        </is>
      </c>
      <c r="B273" s="1" t="n">
        <v>44855</v>
      </c>
      <c r="C273" s="1" t="n">
        <v>45811</v>
      </c>
      <c r="D273" t="inlineStr">
        <is>
          <t>NORRBOTTENS LÄN</t>
        </is>
      </c>
      <c r="E273" t="inlineStr">
        <is>
          <t>ÄLVSBYN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48532-2022</t>
        </is>
      </c>
      <c r="B274" s="1" t="n">
        <v>44859</v>
      </c>
      <c r="C274" s="1" t="n">
        <v>45811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49441-2022</t>
        </is>
      </c>
      <c r="B275" s="1" t="n">
        <v>44861</v>
      </c>
      <c r="C275" s="1" t="n">
        <v>45811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49767-2022</t>
        </is>
      </c>
      <c r="B276" s="1" t="n">
        <v>44862</v>
      </c>
      <c r="C276" s="1" t="n">
        <v>45811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50634-2022</t>
        </is>
      </c>
      <c r="B277" s="1" t="n">
        <v>44866</v>
      </c>
      <c r="C277" s="1" t="n">
        <v>45811</v>
      </c>
      <c r="D277" t="inlineStr">
        <is>
          <t>NORRBOTTENS LÄN</t>
        </is>
      </c>
      <c r="E277" t="inlineStr">
        <is>
          <t>ÄLVSBYN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50631-2022</t>
        </is>
      </c>
      <c r="B278" s="1" t="n">
        <v>44866</v>
      </c>
      <c r="C278" s="1" t="n">
        <v>45811</v>
      </c>
      <c r="D278" t="inlineStr">
        <is>
          <t>NORRBOTTENS LÄN</t>
        </is>
      </c>
      <c r="E278" t="inlineStr">
        <is>
          <t>ÄLVSBYN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51063-2022</t>
        </is>
      </c>
      <c r="B279" s="1" t="n">
        <v>44868</v>
      </c>
      <c r="C279" s="1" t="n">
        <v>45811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51981-2022</t>
        </is>
      </c>
      <c r="B280" s="1" t="n">
        <v>44872</v>
      </c>
      <c r="C280" s="1" t="n">
        <v>45811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52075-2022</t>
        </is>
      </c>
      <c r="B281" s="1" t="n">
        <v>44873</v>
      </c>
      <c r="C281" s="1" t="n">
        <v>45811</v>
      </c>
      <c r="D281" t="inlineStr">
        <is>
          <t>NORRBOTTENS LÄN</t>
        </is>
      </c>
      <c r="E281" t="inlineStr">
        <is>
          <t>ÄLVSBYN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52087-2022</t>
        </is>
      </c>
      <c r="B282" s="1" t="n">
        <v>44873</v>
      </c>
      <c r="C282" s="1" t="n">
        <v>45811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52327-2022</t>
        </is>
      </c>
      <c r="B283" s="1" t="n">
        <v>44873</v>
      </c>
      <c r="C283" s="1" t="n">
        <v>45811</v>
      </c>
      <c r="D283" t="inlineStr">
        <is>
          <t>NORRBOTTENS LÄN</t>
        </is>
      </c>
      <c r="E283" t="inlineStr">
        <is>
          <t>ÄLVSBYN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53037-2022</t>
        </is>
      </c>
      <c r="B284" s="1" t="n">
        <v>44876</v>
      </c>
      <c r="C284" s="1" t="n">
        <v>45811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57233-2022</t>
        </is>
      </c>
      <c r="B285" s="1" t="n">
        <v>44895</v>
      </c>
      <c r="C285" s="1" t="n">
        <v>45811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57214-2022</t>
        </is>
      </c>
      <c r="B286" s="1" t="n">
        <v>44895</v>
      </c>
      <c r="C286" s="1" t="n">
        <v>45811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45811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57789-2022</t>
        </is>
      </c>
      <c r="B288" s="1" t="n">
        <v>44897</v>
      </c>
      <c r="C288" s="1" t="n">
        <v>45811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57785-2022</t>
        </is>
      </c>
      <c r="B289" s="1" t="n">
        <v>44897</v>
      </c>
      <c r="C289" s="1" t="n">
        <v>45811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60351-2022</t>
        </is>
      </c>
      <c r="B290" s="1" t="n">
        <v>44910</v>
      </c>
      <c r="C290" s="1" t="n">
        <v>45811</v>
      </c>
      <c r="D290" t="inlineStr">
        <is>
          <t>NORRBOTTENS LÄN</t>
        </is>
      </c>
      <c r="E290" t="inlineStr">
        <is>
          <t>ÄLVSBYN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60403-2022</t>
        </is>
      </c>
      <c r="B291" s="1" t="n">
        <v>44910</v>
      </c>
      <c r="C291" s="1" t="n">
        <v>45811</v>
      </c>
      <c r="D291" t="inlineStr">
        <is>
          <t>NORRBOTTENS LÄN</t>
        </is>
      </c>
      <c r="E291" t="inlineStr">
        <is>
          <t>ÄLVSBYN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61650-2022</t>
        </is>
      </c>
      <c r="B292" s="1" t="n">
        <v>44916</v>
      </c>
      <c r="C292" s="1" t="n">
        <v>45811</v>
      </c>
      <c r="D292" t="inlineStr">
        <is>
          <t>NORRBOTTENS LÄN</t>
        </is>
      </c>
      <c r="E292" t="inlineStr">
        <is>
          <t>ÄLVSBYN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22-2023</t>
        </is>
      </c>
      <c r="B293" s="1" t="n">
        <v>44918</v>
      </c>
      <c r="C293" s="1" t="n">
        <v>45811</v>
      </c>
      <c r="D293" t="inlineStr">
        <is>
          <t>NORRBOTTENS LÄN</t>
        </is>
      </c>
      <c r="E293" t="inlineStr">
        <is>
          <t>ÄLVSBYN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43-2023</t>
        </is>
      </c>
      <c r="B294" s="1" t="n">
        <v>44918</v>
      </c>
      <c r="C294" s="1" t="n">
        <v>45811</v>
      </c>
      <c r="D294" t="inlineStr">
        <is>
          <t>NORRBOTTENS LÄN</t>
        </is>
      </c>
      <c r="E294" t="inlineStr">
        <is>
          <t>ÄLVSBYN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45811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2290-2023</t>
        </is>
      </c>
      <c r="B296" s="1" t="n">
        <v>44942</v>
      </c>
      <c r="C296" s="1" t="n">
        <v>45811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2595-2023</t>
        </is>
      </c>
      <c r="B297" s="1" t="n">
        <v>44943</v>
      </c>
      <c r="C297" s="1" t="n">
        <v>45811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2678-2023</t>
        </is>
      </c>
      <c r="B298" s="1" t="n">
        <v>44944</v>
      </c>
      <c r="C298" s="1" t="n">
        <v>45811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3500-2023</t>
        </is>
      </c>
      <c r="B299" s="1" t="n">
        <v>44949</v>
      </c>
      <c r="C299" s="1" t="n">
        <v>45811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3497-2023</t>
        </is>
      </c>
      <c r="B300" s="1" t="n">
        <v>44949</v>
      </c>
      <c r="C300" s="1" t="n">
        <v>45811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4013-2023</t>
        </is>
      </c>
      <c r="B301" s="1" t="n">
        <v>44949</v>
      </c>
      <c r="C301" s="1" t="n">
        <v>45811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4128-2023</t>
        </is>
      </c>
      <c r="B302" s="1" t="n">
        <v>44952</v>
      </c>
      <c r="C302" s="1" t="n">
        <v>45811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4127-2023</t>
        </is>
      </c>
      <c r="B303" s="1" t="n">
        <v>44952</v>
      </c>
      <c r="C303" s="1" t="n">
        <v>45811</v>
      </c>
      <c r="D303" t="inlineStr">
        <is>
          <t>NORRBOTTENS LÄN</t>
        </is>
      </c>
      <c r="E303" t="inlineStr">
        <is>
          <t>ÄLVSBYN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5659-2023</t>
        </is>
      </c>
      <c r="B304" s="1" t="n">
        <v>44958</v>
      </c>
      <c r="C304" s="1" t="n">
        <v>45811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6004-2023</t>
        </is>
      </c>
      <c r="B305" s="1" t="n">
        <v>44959</v>
      </c>
      <c r="C305" s="1" t="n">
        <v>45811</v>
      </c>
      <c r="D305" t="inlineStr">
        <is>
          <t>NORRBOTTENS LÄN</t>
        </is>
      </c>
      <c r="E305" t="inlineStr">
        <is>
          <t>ÄLVSBYN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5635-2023</t>
        </is>
      </c>
      <c r="B306" s="1" t="n">
        <v>44960</v>
      </c>
      <c r="C306" s="1" t="n">
        <v>45811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5610-2023</t>
        </is>
      </c>
      <c r="B307" s="1" t="n">
        <v>44960</v>
      </c>
      <c r="C307" s="1" t="n">
        <v>45811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5603-2023</t>
        </is>
      </c>
      <c r="B308" s="1" t="n">
        <v>44960</v>
      </c>
      <c r="C308" s="1" t="n">
        <v>45811</v>
      </c>
      <c r="D308" t="inlineStr">
        <is>
          <t>NORRBOTTENS LÄN</t>
        </is>
      </c>
      <c r="E308" t="inlineStr">
        <is>
          <t>ÄLVSBYN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6769-2023</t>
        </is>
      </c>
      <c r="B309" s="1" t="n">
        <v>44966</v>
      </c>
      <c r="C309" s="1" t="n">
        <v>45811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6825-2023</t>
        </is>
      </c>
      <c r="B310" s="1" t="n">
        <v>44967</v>
      </c>
      <c r="C310" s="1" t="n">
        <v>45811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8739-2023</t>
        </is>
      </c>
      <c r="B311" s="1" t="n">
        <v>44973</v>
      </c>
      <c r="C311" s="1" t="n">
        <v>45811</v>
      </c>
      <c r="D311" t="inlineStr">
        <is>
          <t>NORRBOTTENS LÄN</t>
        </is>
      </c>
      <c r="E311" t="inlineStr">
        <is>
          <t>ÄLVSBYN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8723-2023</t>
        </is>
      </c>
      <c r="B312" s="1" t="n">
        <v>44973</v>
      </c>
      <c r="C312" s="1" t="n">
        <v>45811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8502-2023</t>
        </is>
      </c>
      <c r="B313" s="1" t="n">
        <v>44977</v>
      </c>
      <c r="C313" s="1" t="n">
        <v>45811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45811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10712-2023</t>
        </is>
      </c>
      <c r="B315" s="1" t="n">
        <v>44988</v>
      </c>
      <c r="C315" s="1" t="n">
        <v>45811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10705-2023</t>
        </is>
      </c>
      <c r="B316" s="1" t="n">
        <v>44988</v>
      </c>
      <c r="C316" s="1" t="n">
        <v>45811</v>
      </c>
      <c r="D316" t="inlineStr">
        <is>
          <t>NORRBOTTENS LÄN</t>
        </is>
      </c>
      <c r="E316" t="inlineStr">
        <is>
          <t>ÄLVSBYN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11293-2023</t>
        </is>
      </c>
      <c r="B317" s="1" t="n">
        <v>44992</v>
      </c>
      <c r="C317" s="1" t="n">
        <v>45811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11835-2023</t>
        </is>
      </c>
      <c r="B318" s="1" t="n">
        <v>44994</v>
      </c>
      <c r="C318" s="1" t="n">
        <v>45811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13173-2023</t>
        </is>
      </c>
      <c r="B319" s="1" t="n">
        <v>45002</v>
      </c>
      <c r="C319" s="1" t="n">
        <v>45811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13204-2023</t>
        </is>
      </c>
      <c r="B320" s="1" t="n">
        <v>45002</v>
      </c>
      <c r="C320" s="1" t="n">
        <v>45811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14436-2023</t>
        </is>
      </c>
      <c r="B321" s="1" t="n">
        <v>45012</v>
      </c>
      <c r="C321" s="1" t="n">
        <v>45811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15076-2023</t>
        </is>
      </c>
      <c r="B322" s="1" t="n">
        <v>45016</v>
      </c>
      <c r="C322" s="1" t="n">
        <v>45811</v>
      </c>
      <c r="D322" t="inlineStr">
        <is>
          <t>NORRBOTTENS LÄN</t>
        </is>
      </c>
      <c r="E322" t="inlineStr">
        <is>
          <t>ÄLVSBYN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15251-2023</t>
        </is>
      </c>
      <c r="B323" s="1" t="n">
        <v>45016</v>
      </c>
      <c r="C323" s="1" t="n">
        <v>45811</v>
      </c>
      <c r="D323" t="inlineStr">
        <is>
          <t>NORRBOTTENS LÄN</t>
        </is>
      </c>
      <c r="E323" t="inlineStr">
        <is>
          <t>ÄLVSBYN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15255-2023</t>
        </is>
      </c>
      <c r="B324" s="1" t="n">
        <v>45016</v>
      </c>
      <c r="C324" s="1" t="n">
        <v>45811</v>
      </c>
      <c r="D324" t="inlineStr">
        <is>
          <t>NORRBOTTENS LÄN</t>
        </is>
      </c>
      <c r="E324" t="inlineStr">
        <is>
          <t>ÄLVSBYN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15250-2023</t>
        </is>
      </c>
      <c r="B325" s="1" t="n">
        <v>45016</v>
      </c>
      <c r="C325" s="1" t="n">
        <v>45811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15619-2023</t>
        </is>
      </c>
      <c r="B326" s="1" t="n">
        <v>45021</v>
      </c>
      <c r="C326" s="1" t="n">
        <v>45811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16914-2023</t>
        </is>
      </c>
      <c r="B327" s="1" t="n">
        <v>45028</v>
      </c>
      <c r="C327" s="1" t="n">
        <v>45811</v>
      </c>
      <c r="D327" t="inlineStr">
        <is>
          <t>NORRBOTTENS LÄN</t>
        </is>
      </c>
      <c r="E327" t="inlineStr">
        <is>
          <t>ÄLVSBYN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16991-2023</t>
        </is>
      </c>
      <c r="B328" s="1" t="n">
        <v>45033</v>
      </c>
      <c r="C328" s="1" t="n">
        <v>45811</v>
      </c>
      <c r="D328" t="inlineStr">
        <is>
          <t>NORRBOTTENS LÄN</t>
        </is>
      </c>
      <c r="E328" t="inlineStr">
        <is>
          <t>ÄLVSBYN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17445-2023</t>
        </is>
      </c>
      <c r="B329" s="1" t="n">
        <v>45035</v>
      </c>
      <c r="C329" s="1" t="n">
        <v>45811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19142-2023</t>
        </is>
      </c>
      <c r="B330" s="1" t="n">
        <v>45044</v>
      </c>
      <c r="C330" s="1" t="n">
        <v>45811</v>
      </c>
      <c r="D330" t="inlineStr">
        <is>
          <t>NORRBOTTENS LÄN</t>
        </is>
      </c>
      <c r="E330" t="inlineStr">
        <is>
          <t>ÄLVSBYN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21677-2023</t>
        </is>
      </c>
      <c r="B331" s="1" t="n">
        <v>45064</v>
      </c>
      <c r="C331" s="1" t="n">
        <v>45811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</v>
      </c>
      <c r="C332" s="1" t="n">
        <v>45811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22335-2023</t>
        </is>
      </c>
      <c r="B333" s="1" t="n">
        <v>45070</v>
      </c>
      <c r="C333" s="1" t="n">
        <v>45811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23278-2023</t>
        </is>
      </c>
      <c r="B334" s="1" t="n">
        <v>45076</v>
      </c>
      <c r="C334" s="1" t="n">
        <v>45811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23280-2023</t>
        </is>
      </c>
      <c r="B335" s="1" t="n">
        <v>45076</v>
      </c>
      <c r="C335" s="1" t="n">
        <v>45811</v>
      </c>
      <c r="D335" t="inlineStr">
        <is>
          <t>NORRBOTTENS LÄN</t>
        </is>
      </c>
      <c r="E335" t="inlineStr">
        <is>
          <t>ÄLVSBYN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23178-2023</t>
        </is>
      </c>
      <c r="B336" s="1" t="n">
        <v>45075</v>
      </c>
      <c r="C336" s="1" t="n">
        <v>45811</v>
      </c>
      <c r="D336" t="inlineStr">
        <is>
          <t>NORRBOTTENS LÄN</t>
        </is>
      </c>
      <c r="E336" t="inlineStr">
        <is>
          <t>ÄLVSBYN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23279-2023</t>
        </is>
      </c>
      <c r="B337" s="1" t="n">
        <v>45076</v>
      </c>
      <c r="C337" s="1" t="n">
        <v>45811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23522-2023</t>
        </is>
      </c>
      <c r="B338" s="1" t="n">
        <v>45077</v>
      </c>
      <c r="C338" s="1" t="n">
        <v>45811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25158-2023</t>
        </is>
      </c>
      <c r="B339" s="1" t="n">
        <v>45078</v>
      </c>
      <c r="C339" s="1" t="n">
        <v>45811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25102-2023</t>
        </is>
      </c>
      <c r="B340" s="1" t="n">
        <v>45078</v>
      </c>
      <c r="C340" s="1" t="n">
        <v>45811</v>
      </c>
      <c r="D340" t="inlineStr">
        <is>
          <t>NORRBOTTENS LÄN</t>
        </is>
      </c>
      <c r="E340" t="inlineStr">
        <is>
          <t>ÄLVSBYN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45811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24125-2023</t>
        </is>
      </c>
      <c r="B342" s="1" t="n">
        <v>45079</v>
      </c>
      <c r="C342" s="1" t="n">
        <v>45811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24274-2023</t>
        </is>
      </c>
      <c r="B343" s="1" t="n">
        <v>45079</v>
      </c>
      <c r="C343" s="1" t="n">
        <v>45811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24737-2023</t>
        </is>
      </c>
      <c r="B344" s="1" t="n">
        <v>45084</v>
      </c>
      <c r="C344" s="1" t="n">
        <v>45811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25212-2023</t>
        </is>
      </c>
      <c r="B345" s="1" t="n">
        <v>45086</v>
      </c>
      <c r="C345" s="1" t="n">
        <v>45811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25222-2023</t>
        </is>
      </c>
      <c r="B346" s="1" t="n">
        <v>45086</v>
      </c>
      <c r="C346" s="1" t="n">
        <v>45811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25137-2023</t>
        </is>
      </c>
      <c r="B347" s="1" t="n">
        <v>45086</v>
      </c>
      <c r="C347" s="1" t="n">
        <v>45811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25663-2023</t>
        </is>
      </c>
      <c r="B348" s="1" t="n">
        <v>45090</v>
      </c>
      <c r="C348" s="1" t="n">
        <v>45811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25691-2023</t>
        </is>
      </c>
      <c r="B349" s="1" t="n">
        <v>45090</v>
      </c>
      <c r="C349" s="1" t="n">
        <v>45811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25662-2023</t>
        </is>
      </c>
      <c r="B350" s="1" t="n">
        <v>45090</v>
      </c>
      <c r="C350" s="1" t="n">
        <v>45811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25890-2023</t>
        </is>
      </c>
      <c r="B351" s="1" t="n">
        <v>45090</v>
      </c>
      <c r="C351" s="1" t="n">
        <v>45811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25879-2023</t>
        </is>
      </c>
      <c r="B352" s="1" t="n">
        <v>45090</v>
      </c>
      <c r="C352" s="1" t="n">
        <v>45811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26240-2023</t>
        </is>
      </c>
      <c r="B353" s="1" t="n">
        <v>45091</v>
      </c>
      <c r="C353" s="1" t="n">
        <v>45811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26164-2023</t>
        </is>
      </c>
      <c r="B354" s="1" t="n">
        <v>45091</v>
      </c>
      <c r="C354" s="1" t="n">
        <v>45811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45811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28094-2023</t>
        </is>
      </c>
      <c r="B356" s="1" t="n">
        <v>45099</v>
      </c>
      <c r="C356" s="1" t="n">
        <v>45811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28354-2023</t>
        </is>
      </c>
      <c r="B357" s="1" t="n">
        <v>45100</v>
      </c>
      <c r="C357" s="1" t="n">
        <v>45811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28569-2023</t>
        </is>
      </c>
      <c r="B358" s="1" t="n">
        <v>45103</v>
      </c>
      <c r="C358" s="1" t="n">
        <v>45811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28757-2023</t>
        </is>
      </c>
      <c r="B359" s="1" t="n">
        <v>45103</v>
      </c>
      <c r="C359" s="1" t="n">
        <v>45811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28755-2023</t>
        </is>
      </c>
      <c r="B360" s="1" t="n">
        <v>45104</v>
      </c>
      <c r="C360" s="1" t="n">
        <v>45811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28583-2023</t>
        </is>
      </c>
      <c r="B361" s="1" t="n">
        <v>45103</v>
      </c>
      <c r="C361" s="1" t="n">
        <v>45811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28756-2023</t>
        </is>
      </c>
      <c r="B362" s="1" t="n">
        <v>45104</v>
      </c>
      <c r="C362" s="1" t="n">
        <v>45811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29655-2023</t>
        </is>
      </c>
      <c r="B363" s="1" t="n">
        <v>45107</v>
      </c>
      <c r="C363" s="1" t="n">
        <v>45811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29654-2023</t>
        </is>
      </c>
      <c r="B364" s="1" t="n">
        <v>45107</v>
      </c>
      <c r="C364" s="1" t="n">
        <v>45811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29649-2023</t>
        </is>
      </c>
      <c r="B365" s="1" t="n">
        <v>45107</v>
      </c>
      <c r="C365" s="1" t="n">
        <v>45811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29653-2023</t>
        </is>
      </c>
      <c r="B366" s="1" t="n">
        <v>45107</v>
      </c>
      <c r="C366" s="1" t="n">
        <v>45811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29652-2023</t>
        </is>
      </c>
      <c r="B367" s="1" t="n">
        <v>45107</v>
      </c>
      <c r="C367" s="1" t="n">
        <v>45811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29882-2023</t>
        </is>
      </c>
      <c r="B368" s="1" t="n">
        <v>45107</v>
      </c>
      <c r="C368" s="1" t="n">
        <v>45811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29886-2023</t>
        </is>
      </c>
      <c r="B369" s="1" t="n">
        <v>45107</v>
      </c>
      <c r="C369" s="1" t="n">
        <v>45811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31056-2023</t>
        </is>
      </c>
      <c r="B370" s="1" t="n">
        <v>45113</v>
      </c>
      <c r="C370" s="1" t="n">
        <v>45811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45811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31216-2023</t>
        </is>
      </c>
      <c r="B372" s="1" t="n">
        <v>45114</v>
      </c>
      <c r="C372" s="1" t="n">
        <v>45811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45811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31219-2023</t>
        </is>
      </c>
      <c r="B374" s="1" t="n">
        <v>45114</v>
      </c>
      <c r="C374" s="1" t="n">
        <v>45811</v>
      </c>
      <c r="D374" t="inlineStr">
        <is>
          <t>NORRBOTTENS LÄN</t>
        </is>
      </c>
      <c r="E374" t="inlineStr">
        <is>
          <t>ÄLVSBYN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32445-2023</t>
        </is>
      </c>
      <c r="B375" s="1" t="n">
        <v>45120</v>
      </c>
      <c r="C375" s="1" t="n">
        <v>45811</v>
      </c>
      <c r="D375" t="inlineStr">
        <is>
          <t>NORRBOTTENS LÄN</t>
        </is>
      </c>
      <c r="E375" t="inlineStr">
        <is>
          <t>ÄLVSBYN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32963-2023</t>
        </is>
      </c>
      <c r="B376" s="1" t="n">
        <v>45125</v>
      </c>
      <c r="C376" s="1" t="n">
        <v>45811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32956-2023</t>
        </is>
      </c>
      <c r="B377" s="1" t="n">
        <v>45125</v>
      </c>
      <c r="C377" s="1" t="n">
        <v>45811</v>
      </c>
      <c r="D377" t="inlineStr">
        <is>
          <t>NORRBOTTENS LÄN</t>
        </is>
      </c>
      <c r="E377" t="inlineStr">
        <is>
          <t>ÄLVSBYN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32966-2023</t>
        </is>
      </c>
      <c r="B378" s="1" t="n">
        <v>45125</v>
      </c>
      <c r="C378" s="1" t="n">
        <v>45811</v>
      </c>
      <c r="D378" t="inlineStr">
        <is>
          <t>NORRBOTTENS LÄN</t>
        </is>
      </c>
      <c r="E378" t="inlineStr">
        <is>
          <t>ÄLVSBYN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35508-2023</t>
        </is>
      </c>
      <c r="B379" s="1" t="n">
        <v>45147</v>
      </c>
      <c r="C379" s="1" t="n">
        <v>45811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36499-2023</t>
        </is>
      </c>
      <c r="B380" s="1" t="n">
        <v>45153</v>
      </c>
      <c r="C380" s="1" t="n">
        <v>45811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36500-2023</t>
        </is>
      </c>
      <c r="B381" s="1" t="n">
        <v>45153</v>
      </c>
      <c r="C381" s="1" t="n">
        <v>45811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36485-2023</t>
        </is>
      </c>
      <c r="B382" s="1" t="n">
        <v>45152</v>
      </c>
      <c r="C382" s="1" t="n">
        <v>45811</v>
      </c>
      <c r="D382" t="inlineStr">
        <is>
          <t>NORRBOTTENS LÄN</t>
        </is>
      </c>
      <c r="E382" t="inlineStr">
        <is>
          <t>ÄLVSBYN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36501-2023</t>
        </is>
      </c>
      <c r="B383" s="1" t="n">
        <v>45153</v>
      </c>
      <c r="C383" s="1" t="n">
        <v>45811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36820-2023</t>
        </is>
      </c>
      <c r="B384" s="1" t="n">
        <v>45154</v>
      </c>
      <c r="C384" s="1" t="n">
        <v>45811</v>
      </c>
      <c r="D384" t="inlineStr">
        <is>
          <t>NORRBOTTENS LÄN</t>
        </is>
      </c>
      <c r="E384" t="inlineStr">
        <is>
          <t>ÄLVSBYN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37720-2023</t>
        </is>
      </c>
      <c r="B385" s="1" t="n">
        <v>45159</v>
      </c>
      <c r="C385" s="1" t="n">
        <v>45811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38003-2023</t>
        </is>
      </c>
      <c r="B386" s="1" t="n">
        <v>45159</v>
      </c>
      <c r="C386" s="1" t="n">
        <v>45811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37961-2023</t>
        </is>
      </c>
      <c r="B387" s="1" t="n">
        <v>45159</v>
      </c>
      <c r="C387" s="1" t="n">
        <v>45811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37984-2023</t>
        </is>
      </c>
      <c r="B388" s="1" t="n">
        <v>45159</v>
      </c>
      <c r="C388" s="1" t="n">
        <v>45811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37977-2023</t>
        </is>
      </c>
      <c r="B389" s="1" t="n">
        <v>45159</v>
      </c>
      <c r="C389" s="1" t="n">
        <v>45811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39005-2023</t>
        </is>
      </c>
      <c r="B390" s="1" t="n">
        <v>45162</v>
      </c>
      <c r="C390" s="1" t="n">
        <v>45811</v>
      </c>
      <c r="D390" t="inlineStr">
        <is>
          <t>NORRBOTTENS LÄN</t>
        </is>
      </c>
      <c r="E390" t="inlineStr">
        <is>
          <t>ÄLVSBYN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39378-2023</t>
        </is>
      </c>
      <c r="B391" s="1" t="n">
        <v>45166</v>
      </c>
      <c r="C391" s="1" t="n">
        <v>45811</v>
      </c>
      <c r="D391" t="inlineStr">
        <is>
          <t>NORRBOTTENS LÄN</t>
        </is>
      </c>
      <c r="E391" t="inlineStr">
        <is>
          <t>ÄLVSBYN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39551-2023</t>
        </is>
      </c>
      <c r="B392" s="1" t="n">
        <v>45167</v>
      </c>
      <c r="C392" s="1" t="n">
        <v>45811</v>
      </c>
      <c r="D392" t="inlineStr">
        <is>
          <t>NORRBOTTENS LÄN</t>
        </is>
      </c>
      <c r="E392" t="inlineStr">
        <is>
          <t>ÄLVSBYN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41467-2023</t>
        </is>
      </c>
      <c r="B393" s="1" t="n">
        <v>45175</v>
      </c>
      <c r="C393" s="1" t="n">
        <v>45811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41813-2023</t>
        </is>
      </c>
      <c r="B394" s="1" t="n">
        <v>45176</v>
      </c>
      <c r="C394" s="1" t="n">
        <v>45811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42542-2023</t>
        </is>
      </c>
      <c r="B395" s="1" t="n">
        <v>45181</v>
      </c>
      <c r="C395" s="1" t="n">
        <v>45811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42553-2023</t>
        </is>
      </c>
      <c r="B396" s="1" t="n">
        <v>45181</v>
      </c>
      <c r="C396" s="1" t="n">
        <v>45811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43114-2023</t>
        </is>
      </c>
      <c r="B397" s="1" t="n">
        <v>45182</v>
      </c>
      <c r="C397" s="1" t="n">
        <v>45811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43118-2023</t>
        </is>
      </c>
      <c r="B398" s="1" t="n">
        <v>45183</v>
      </c>
      <c r="C398" s="1" t="n">
        <v>45811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43115-2023</t>
        </is>
      </c>
      <c r="B399" s="1" t="n">
        <v>45182</v>
      </c>
      <c r="C399" s="1" t="n">
        <v>45811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43116-2023</t>
        </is>
      </c>
      <c r="B400" s="1" t="n">
        <v>45183</v>
      </c>
      <c r="C400" s="1" t="n">
        <v>45811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43117-2023</t>
        </is>
      </c>
      <c r="B401" s="1" t="n">
        <v>45183</v>
      </c>
      <c r="C401" s="1" t="n">
        <v>45811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44964-2023</t>
        </is>
      </c>
      <c r="B402" s="1" t="n">
        <v>45190</v>
      </c>
      <c r="C402" s="1" t="n">
        <v>45811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45136-2023</t>
        </is>
      </c>
      <c r="B403" s="1" t="n">
        <v>45191</v>
      </c>
      <c r="C403" s="1" t="n">
        <v>45811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45135-2023</t>
        </is>
      </c>
      <c r="B404" s="1" t="n">
        <v>45191</v>
      </c>
      <c r="C404" s="1" t="n">
        <v>45811</v>
      </c>
      <c r="D404" t="inlineStr">
        <is>
          <t>NORRBOTTENS LÄN</t>
        </is>
      </c>
      <c r="E404" t="inlineStr">
        <is>
          <t>ÄLVSBYN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45424-2023</t>
        </is>
      </c>
      <c r="B405" s="1" t="n">
        <v>45194</v>
      </c>
      <c r="C405" s="1" t="n">
        <v>45811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45811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45417-2023</t>
        </is>
      </c>
      <c r="B407" s="1" t="n">
        <v>45194</v>
      </c>
      <c r="C407" s="1" t="n">
        <v>45811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46406-2023</t>
        </is>
      </c>
      <c r="B408" s="1" t="n">
        <v>45194</v>
      </c>
      <c r="C408" s="1" t="n">
        <v>45811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47437-2023</t>
        </is>
      </c>
      <c r="B409" s="1" t="n">
        <v>45197</v>
      </c>
      <c r="C409" s="1" t="n">
        <v>45811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47441-2023</t>
        </is>
      </c>
      <c r="B410" s="1" t="n">
        <v>45197</v>
      </c>
      <c r="C410" s="1" t="n">
        <v>45811</v>
      </c>
      <c r="D410" t="inlineStr">
        <is>
          <t>NORRBOTTENS LÄN</t>
        </is>
      </c>
      <c r="E410" t="inlineStr">
        <is>
          <t>ÄLVSBYN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48362-2023</t>
        </is>
      </c>
      <c r="B411" s="1" t="n">
        <v>45205</v>
      </c>
      <c r="C411" s="1" t="n">
        <v>45811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49568-2023</t>
        </is>
      </c>
      <c r="B412" s="1" t="n">
        <v>45205</v>
      </c>
      <c r="C412" s="1" t="n">
        <v>45811</v>
      </c>
      <c r="D412" t="inlineStr">
        <is>
          <t>NORRBOTTENS LÄN</t>
        </is>
      </c>
      <c r="E412" t="inlineStr">
        <is>
          <t>ÄLVSBYN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49041-2023</t>
        </is>
      </c>
      <c r="B413" s="1" t="n">
        <v>45210</v>
      </c>
      <c r="C413" s="1" t="n">
        <v>45811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49402-2023</t>
        </is>
      </c>
      <c r="B414" s="1" t="n">
        <v>45211</v>
      </c>
      <c r="C414" s="1" t="n">
        <v>45811</v>
      </c>
      <c r="D414" t="inlineStr">
        <is>
          <t>NORRBOTTENS LÄN</t>
        </is>
      </c>
      <c r="E414" t="inlineStr">
        <is>
          <t>ÄLVSBYN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49632-2023</t>
        </is>
      </c>
      <c r="B415" s="1" t="n">
        <v>45212</v>
      </c>
      <c r="C415" s="1" t="n">
        <v>45811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50212-2023</t>
        </is>
      </c>
      <c r="B416" s="1" t="n">
        <v>45216</v>
      </c>
      <c r="C416" s="1" t="n">
        <v>45811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50478-2023</t>
        </is>
      </c>
      <c r="B417" s="1" t="n">
        <v>45217</v>
      </c>
      <c r="C417" s="1" t="n">
        <v>45811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50384-2023</t>
        </is>
      </c>
      <c r="B418" s="1" t="n">
        <v>45216</v>
      </c>
      <c r="C418" s="1" t="n">
        <v>45811</v>
      </c>
      <c r="D418" t="inlineStr">
        <is>
          <t>NORRBOTTENS LÄN</t>
        </is>
      </c>
      <c r="E418" t="inlineStr">
        <is>
          <t>ÄLVSBYN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50509-2023</t>
        </is>
      </c>
      <c r="B419" s="1" t="n">
        <v>45216</v>
      </c>
      <c r="C419" s="1" t="n">
        <v>45811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50481-2023</t>
        </is>
      </c>
      <c r="B420" s="1" t="n">
        <v>45216</v>
      </c>
      <c r="C420" s="1" t="n">
        <v>45811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50479-2023</t>
        </is>
      </c>
      <c r="B421" s="1" t="n">
        <v>45216</v>
      </c>
      <c r="C421" s="1" t="n">
        <v>45811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50375-2023</t>
        </is>
      </c>
      <c r="B422" s="1" t="n">
        <v>45216</v>
      </c>
      <c r="C422" s="1" t="n">
        <v>45811</v>
      </c>
      <c r="D422" t="inlineStr">
        <is>
          <t>NORRBOTTENS LÄN</t>
        </is>
      </c>
      <c r="E422" t="inlineStr">
        <is>
          <t>ÄLVSBYN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50480-2023</t>
        </is>
      </c>
      <c r="B423" s="1" t="n">
        <v>45216</v>
      </c>
      <c r="C423" s="1" t="n">
        <v>45811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50319-2023</t>
        </is>
      </c>
      <c r="B424" s="1" t="n">
        <v>45216</v>
      </c>
      <c r="C424" s="1" t="n">
        <v>45811</v>
      </c>
      <c r="D424" t="inlineStr">
        <is>
          <t>NORRBOTTENS LÄN</t>
        </is>
      </c>
      <c r="E424" t="inlineStr">
        <is>
          <t>ÄLVSBYN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45811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51456-2023</t>
        </is>
      </c>
      <c r="B426" s="1" t="n">
        <v>45220</v>
      </c>
      <c r="C426" s="1" t="n">
        <v>45811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51458-2023</t>
        </is>
      </c>
      <c r="B427" s="1" t="n">
        <v>45220</v>
      </c>
      <c r="C427" s="1" t="n">
        <v>45811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51793-2023</t>
        </is>
      </c>
      <c r="B428" s="1" t="n">
        <v>45223</v>
      </c>
      <c r="C428" s="1" t="n">
        <v>45811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51794-2023</t>
        </is>
      </c>
      <c r="B429" s="1" t="n">
        <v>45223</v>
      </c>
      <c r="C429" s="1" t="n">
        <v>45811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52397-2023</t>
        </is>
      </c>
      <c r="B430" s="1" t="n">
        <v>45224</v>
      </c>
      <c r="C430" s="1" t="n">
        <v>45811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52409-2023</t>
        </is>
      </c>
      <c r="B431" s="1" t="n">
        <v>45225</v>
      </c>
      <c r="C431" s="1" t="n">
        <v>45811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52407-2023</t>
        </is>
      </c>
      <c r="B432" s="1" t="n">
        <v>45224</v>
      </c>
      <c r="C432" s="1" t="n">
        <v>45811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54317-2023</t>
        </is>
      </c>
      <c r="B433" s="1" t="n">
        <v>45232</v>
      </c>
      <c r="C433" s="1" t="n">
        <v>45811</v>
      </c>
      <c r="D433" t="inlineStr">
        <is>
          <t>NORRBOTTENS LÄN</t>
        </is>
      </c>
      <c r="E433" t="inlineStr">
        <is>
          <t>ÄLVSBYN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54975-2023</t>
        </is>
      </c>
      <c r="B434" s="1" t="n">
        <v>45236</v>
      </c>
      <c r="C434" s="1" t="n">
        <v>45811</v>
      </c>
      <c r="D434" t="inlineStr">
        <is>
          <t>NORRBOTTENS LÄN</t>
        </is>
      </c>
      <c r="E434" t="inlineStr">
        <is>
          <t>ÄLVSBYN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57240-2023</t>
        </is>
      </c>
      <c r="B435" s="1" t="n">
        <v>45239</v>
      </c>
      <c r="C435" s="1" t="n">
        <v>45811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57255-2023</t>
        </is>
      </c>
      <c r="B436" s="1" t="n">
        <v>45239</v>
      </c>
      <c r="C436" s="1" t="n">
        <v>45811</v>
      </c>
      <c r="D436" t="inlineStr">
        <is>
          <t>NORRBOTTENS LÄN</t>
        </is>
      </c>
      <c r="E436" t="inlineStr">
        <is>
          <t>ÄLVSBYN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57288-2023</t>
        </is>
      </c>
      <c r="B437" s="1" t="n">
        <v>45239</v>
      </c>
      <c r="C437" s="1" t="n">
        <v>45811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56849-2023</t>
        </is>
      </c>
      <c r="B438" s="1" t="n">
        <v>45244</v>
      </c>
      <c r="C438" s="1" t="n">
        <v>45811</v>
      </c>
      <c r="D438" t="inlineStr">
        <is>
          <t>NORRBOTTENS LÄN</t>
        </is>
      </c>
      <c r="E438" t="inlineStr">
        <is>
          <t>ÄLVSBYN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57827-2023</t>
        </is>
      </c>
      <c r="B439" s="1" t="n">
        <v>45244</v>
      </c>
      <c r="C439" s="1" t="n">
        <v>45811</v>
      </c>
      <c r="D439" t="inlineStr">
        <is>
          <t>NORRBOTTENS LÄN</t>
        </is>
      </c>
      <c r="E439" t="inlineStr">
        <is>
          <t>ÄLVSBYN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57834-2023</t>
        </is>
      </c>
      <c r="B440" s="1" t="n">
        <v>45244</v>
      </c>
      <c r="C440" s="1" t="n">
        <v>45811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57100-2023</t>
        </is>
      </c>
      <c r="B441" s="1" t="n">
        <v>45245</v>
      </c>
      <c r="C441" s="1" t="n">
        <v>45811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58476-2023</t>
        </is>
      </c>
      <c r="B442" s="1" t="n">
        <v>45246</v>
      </c>
      <c r="C442" s="1" t="n">
        <v>45811</v>
      </c>
      <c r="D442" t="inlineStr">
        <is>
          <t>NORRBOTTENS LÄN</t>
        </is>
      </c>
      <c r="E442" t="inlineStr">
        <is>
          <t>ÄLVSBYN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58450-2023</t>
        </is>
      </c>
      <c r="B443" s="1" t="n">
        <v>45250</v>
      </c>
      <c r="C443" s="1" t="n">
        <v>45811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58448-2023</t>
        </is>
      </c>
      <c r="B444" s="1" t="n">
        <v>45250</v>
      </c>
      <c r="C444" s="1" t="n">
        <v>45811</v>
      </c>
      <c r="D444" t="inlineStr">
        <is>
          <t>NORRBOTTENS LÄN</t>
        </is>
      </c>
      <c r="E444" t="inlineStr">
        <is>
          <t>ÄLVSBYN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58447-2023</t>
        </is>
      </c>
      <c r="B445" s="1" t="n">
        <v>45250</v>
      </c>
      <c r="C445" s="1" t="n">
        <v>45811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</v>
      </c>
      <c r="C446" s="1" t="n">
        <v>45811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58515-2023</t>
        </is>
      </c>
      <c r="B447" s="1" t="n">
        <v>45251</v>
      </c>
      <c r="C447" s="1" t="n">
        <v>45811</v>
      </c>
      <c r="D447" t="inlineStr">
        <is>
          <t>NORRBOTTENS LÄN</t>
        </is>
      </c>
      <c r="E447" t="inlineStr">
        <is>
          <t>ÄLVSBYN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58919-2023</t>
        </is>
      </c>
      <c r="B448" s="1" t="n">
        <v>45252</v>
      </c>
      <c r="C448" s="1" t="n">
        <v>45811</v>
      </c>
      <c r="D448" t="inlineStr">
        <is>
          <t>NORRBOTTENS LÄN</t>
        </is>
      </c>
      <c r="E448" t="inlineStr">
        <is>
          <t>ÄLVSBYN</t>
        </is>
      </c>
      <c r="G448" t="n">
        <v>25.1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59543-2023</t>
        </is>
      </c>
      <c r="B449" s="1" t="n">
        <v>45254</v>
      </c>
      <c r="C449" s="1" t="n">
        <v>45811</v>
      </c>
      <c r="D449" t="inlineStr">
        <is>
          <t>NORRBOTTENS LÄN</t>
        </is>
      </c>
      <c r="E449" t="inlineStr">
        <is>
          <t>ÄLVSBYN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60322-2023</t>
        </is>
      </c>
      <c r="B450" s="1" t="n">
        <v>45258</v>
      </c>
      <c r="C450" s="1" t="n">
        <v>45811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60500-2023</t>
        </is>
      </c>
      <c r="B451" s="1" t="n">
        <v>45259</v>
      </c>
      <c r="C451" s="1" t="n">
        <v>45811</v>
      </c>
      <c r="D451" t="inlineStr">
        <is>
          <t>NORRBOTTENS LÄN</t>
        </is>
      </c>
      <c r="E451" t="inlineStr">
        <is>
          <t>ÄLVSBYN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61516-2023</t>
        </is>
      </c>
      <c r="B452" s="1" t="n">
        <v>45265</v>
      </c>
      <c r="C452" s="1" t="n">
        <v>45811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61520-2023</t>
        </is>
      </c>
      <c r="B453" s="1" t="n">
        <v>45265</v>
      </c>
      <c r="C453" s="1" t="n">
        <v>45811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38.9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61524-2023</t>
        </is>
      </c>
      <c r="B454" s="1" t="n">
        <v>45265</v>
      </c>
      <c r="C454" s="1" t="n">
        <v>45811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61517-2023</t>
        </is>
      </c>
      <c r="B455" s="1" t="n">
        <v>45265</v>
      </c>
      <c r="C455" s="1" t="n">
        <v>45811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61521-2023</t>
        </is>
      </c>
      <c r="B456" s="1" t="n">
        <v>45265</v>
      </c>
      <c r="C456" s="1" t="n">
        <v>45811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61518-2023</t>
        </is>
      </c>
      <c r="B457" s="1" t="n">
        <v>45265</v>
      </c>
      <c r="C457" s="1" t="n">
        <v>45811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61522-2023</t>
        </is>
      </c>
      <c r="B458" s="1" t="n">
        <v>45265</v>
      </c>
      <c r="C458" s="1" t="n">
        <v>45811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26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62068-2023</t>
        </is>
      </c>
      <c r="B459" s="1" t="n">
        <v>45266</v>
      </c>
      <c r="C459" s="1" t="n">
        <v>45811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62409-2023</t>
        </is>
      </c>
      <c r="B460" s="1" t="n">
        <v>45266</v>
      </c>
      <c r="C460" s="1" t="n">
        <v>45811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62406-2023</t>
        </is>
      </c>
      <c r="B461" s="1" t="n">
        <v>45266</v>
      </c>
      <c r="C461" s="1" t="n">
        <v>45811</v>
      </c>
      <c r="D461" t="inlineStr">
        <is>
          <t>NORRBOTTENS LÄN</t>
        </is>
      </c>
      <c r="E461" t="inlineStr">
        <is>
          <t>ÄLVSBYN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45811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45811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45811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45811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45811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45811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45811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45811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45811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45811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45811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45811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45811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45811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45811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45811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45811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45811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45811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45811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45811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45811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45811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45811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45811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45811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45811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45811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45811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45811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45811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45811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45811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45811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45811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45811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45811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45811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45811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45811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45811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45811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45811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45811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45811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45811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45811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45811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45811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45811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45811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45811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45811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45811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45811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45811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45811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45811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45811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45811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45811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45811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45811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45811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45811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45811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45811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45811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45811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45811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45811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45811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45811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45811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45811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45811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45811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45811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45811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45811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45811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45811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45811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45811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45811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45811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45811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45811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45811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45811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45811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45811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45811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45811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45811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45811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45811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45811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45811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45811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45811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45811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45811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45811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45811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45811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45811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45811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45811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45811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45811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45811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45811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45811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45811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45811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45811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45811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45811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45811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45811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45811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45811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45811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45811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45811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45811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45811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45811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45811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45811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45811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45811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45811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45811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45811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45811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45811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45811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45811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45811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45811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45811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45811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45811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45811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45811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45811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45811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45811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45811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45811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45811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45811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45811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45811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45811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45811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45811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45811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45811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45811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45811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45811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45811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45811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45811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45811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45811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45811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45811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45811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45811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45811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45811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45811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45811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45811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45811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45811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45811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45811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45811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45811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45811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45811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45811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45811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45811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45811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45811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45811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45811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45811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45811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45811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45811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45811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45811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45811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45811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45811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45811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45811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45811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45811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45811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45811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45811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45811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45811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45811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45811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45811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45811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45811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45811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45811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45811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45811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45811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45811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45811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45811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45811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45811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45811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45811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45811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45811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45811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45811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45811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45811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45811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45811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45811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45811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45811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45811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45811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45811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45811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45811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45811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45811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45811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45811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45811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45811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45811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45811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45811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45811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45811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45811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45811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45811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45811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45811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45811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45811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45811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45811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45811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45811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45811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45811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45811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45811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45811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45811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45811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45811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45811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45811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45811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45811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45811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45811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45811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45811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23336-2025</t>
        </is>
      </c>
      <c r="B744" s="1" t="n">
        <v>45791</v>
      </c>
      <c r="C744" s="1" t="n">
        <v>45811</v>
      </c>
      <c r="D744" t="inlineStr">
        <is>
          <t>NORRBOTTENS LÄN</t>
        </is>
      </c>
      <c r="E744" t="inlineStr">
        <is>
          <t>ÄLVSBYN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45811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23150-2025</t>
        </is>
      </c>
      <c r="B746" s="1" t="n">
        <v>45791</v>
      </c>
      <c r="C746" s="1" t="n">
        <v>45811</v>
      </c>
      <c r="D746" t="inlineStr">
        <is>
          <t>NORRBOTTENS LÄN</t>
        </is>
      </c>
      <c r="E746" t="inlineStr">
        <is>
          <t>ÄLVSBYN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45811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23411-2025</t>
        </is>
      </c>
      <c r="B748" s="1" t="n">
        <v>45792</v>
      </c>
      <c r="C748" s="1" t="n">
        <v>45811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45811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45811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25621-2025</t>
        </is>
      </c>
      <c r="B751" s="1" t="n">
        <v>45803</v>
      </c>
      <c r="C751" s="1" t="n">
        <v>45811</v>
      </c>
      <c r="D751" t="inlineStr">
        <is>
          <t>NORRBOTTENS LÄN</t>
        </is>
      </c>
      <c r="E751" t="inlineStr">
        <is>
          <t>ÄLVSBYN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25622-2025</t>
        </is>
      </c>
      <c r="B752" s="1" t="n">
        <v>45803</v>
      </c>
      <c r="C752" s="1" t="n">
        <v>45811</v>
      </c>
      <c r="D752" t="inlineStr">
        <is>
          <t>NORRBOTTENS LÄN</t>
        </is>
      </c>
      <c r="E752" t="inlineStr">
        <is>
          <t>ÄLVSBYN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25947-2025</t>
        </is>
      </c>
      <c r="B753" s="1" t="n">
        <v>45804</v>
      </c>
      <c r="C753" s="1" t="n">
        <v>45811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26087-2025</t>
        </is>
      </c>
      <c r="B754" s="1" t="n">
        <v>45805</v>
      </c>
      <c r="C754" s="1" t="n">
        <v>45811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26083-2025</t>
        </is>
      </c>
      <c r="B755" s="1" t="n">
        <v>45805</v>
      </c>
      <c r="C755" s="1" t="n">
        <v>45811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26595-2025</t>
        </is>
      </c>
      <c r="B756" s="1" t="n">
        <v>45808</v>
      </c>
      <c r="C756" s="1" t="n">
        <v>45811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26596-2025</t>
        </is>
      </c>
      <c r="B757" s="1" t="n">
        <v>45808</v>
      </c>
      <c r="C757" s="1" t="n">
        <v>45811</v>
      </c>
      <c r="D757" t="inlineStr">
        <is>
          <t>NORRBOTTENS LÄN</t>
        </is>
      </c>
      <c r="E757" t="inlineStr">
        <is>
          <t>ÄLVSBYN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26599-2025</t>
        </is>
      </c>
      <c r="B758" s="1" t="n">
        <v>45808</v>
      </c>
      <c r="C758" s="1" t="n">
        <v>45811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26629-2025</t>
        </is>
      </c>
      <c r="B759" s="1" t="n">
        <v>45810</v>
      </c>
      <c r="C759" s="1" t="n">
        <v>45811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2025-06-03T18:13:29Z</dcterms:created>
  <dcterms:modified xmlns:dcterms="http://purl.org/dc/terms/" xmlns:xsi="http://www.w3.org/2001/XMLSchema-instance" xsi:type="dcterms:W3CDTF">2025-06-03T18:13:29Z</dcterms:modified>
</cp:coreProperties>
</file>