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45804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45804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45804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45804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45804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45804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45804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45804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45804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45804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45804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45804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45804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45804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45804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45804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45804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45804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45804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45804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45804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45804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45804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45804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45804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45804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45804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45804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45804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45804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45804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45804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45804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45804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45804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45804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45804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45804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45804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62395-2023</t>
        </is>
      </c>
      <c r="B41" s="1" t="n">
        <v>45266</v>
      </c>
      <c r="C41" s="1" t="n">
        <v>45804</v>
      </c>
      <c r="D41" t="inlineStr">
        <is>
          <t>NORRBOTTENS LÄN</t>
        </is>
      </c>
      <c r="E41" t="inlineStr">
        <is>
          <t>ÄLVSBYN</t>
        </is>
      </c>
      <c r="G41" t="n">
        <v>3.1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HYPERLINK("https://klasma.github.io/Logging_2560/artfynd/A 62395-2023 artfynd.xlsx", "A 62395-2023")</f>
        <v/>
      </c>
      <c r="T41">
        <f>HYPERLINK("https://klasma.github.io/Logging_2560/kartor/A 62395-2023 karta.png", "A 62395-2023")</f>
        <v/>
      </c>
      <c r="V41">
        <f>HYPERLINK("https://klasma.github.io/Logging_2560/klagomål/A 62395-2023 FSC-klagomål.docx", "A 62395-2023")</f>
        <v/>
      </c>
      <c r="W41">
        <f>HYPERLINK("https://klasma.github.io/Logging_2560/klagomålsmail/A 62395-2023 FSC-klagomål mail.docx", "A 62395-2023")</f>
        <v/>
      </c>
      <c r="X41">
        <f>HYPERLINK("https://klasma.github.io/Logging_2560/tillsyn/A 62395-2023 tillsynsbegäran.docx", "A 62395-2023")</f>
        <v/>
      </c>
      <c r="Y41">
        <f>HYPERLINK("https://klasma.github.io/Logging_2560/tillsynsmail/A 62395-2023 tillsynsbegäran mail.docx", "A 62395-2023")</f>
        <v/>
      </c>
    </row>
    <row r="42" ht="15" customHeight="1">
      <c r="A42" t="inlineStr">
        <is>
          <t>A 569-2024</t>
        </is>
      </c>
      <c r="B42" s="1" t="n">
        <v>45299</v>
      </c>
      <c r="C42" s="1" t="n">
        <v>45804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Skarp dropptaggsvamp</t>
        </is>
      </c>
      <c r="S42">
        <f>HYPERLINK("https://klasma.github.io/Logging_2560/artfynd/A 569-2024 artfynd.xlsx", "A 569-2024")</f>
        <v/>
      </c>
      <c r="T42">
        <f>HYPERLINK("https://klasma.github.io/Logging_2560/kartor/A 569-2024 karta.png", "A 569-2024")</f>
        <v/>
      </c>
      <c r="V42">
        <f>HYPERLINK("https://klasma.github.io/Logging_2560/klagomål/A 569-2024 FSC-klagomål.docx", "A 569-2024")</f>
        <v/>
      </c>
      <c r="W42">
        <f>HYPERLINK("https://klasma.github.io/Logging_2560/klagomålsmail/A 569-2024 FSC-klagomål mail.docx", "A 569-2024")</f>
        <v/>
      </c>
      <c r="X42">
        <f>HYPERLINK("https://klasma.github.io/Logging_2560/tillsyn/A 569-2024 tillsynsbegäran.docx", "A 569-2024")</f>
        <v/>
      </c>
      <c r="Y42">
        <f>HYPERLINK("https://klasma.github.io/Logging_2560/tillsynsmail/A 569-2024 tillsynsbegäran mail.docx", "A 569-2024")</f>
        <v/>
      </c>
    </row>
    <row r="43" ht="15" customHeight="1">
      <c r="A43" t="inlineStr">
        <is>
          <t>A 16255-2024</t>
        </is>
      </c>
      <c r="B43" s="1" t="n">
        <v>45407</v>
      </c>
      <c r="C43" s="1" t="n">
        <v>45804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18.5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Lappranunkel</t>
        </is>
      </c>
      <c r="S43">
        <f>HYPERLINK("https://klasma.github.io/Logging_2560/artfynd/A 16255-2024 artfynd.xlsx", "A 16255-2024")</f>
        <v/>
      </c>
      <c r="T43">
        <f>HYPERLINK("https://klasma.github.io/Logging_2560/kartor/A 16255-2024 karta.png", "A 16255-2024")</f>
        <v/>
      </c>
      <c r="V43">
        <f>HYPERLINK("https://klasma.github.io/Logging_2560/klagomål/A 16255-2024 FSC-klagomål.docx", "A 16255-2024")</f>
        <v/>
      </c>
      <c r="W43">
        <f>HYPERLINK("https://klasma.github.io/Logging_2560/klagomålsmail/A 16255-2024 FSC-klagomål mail.docx", "A 16255-2024")</f>
        <v/>
      </c>
      <c r="X43">
        <f>HYPERLINK("https://klasma.github.io/Logging_2560/tillsyn/A 16255-2024 tillsynsbegäran.docx", "A 16255-2024")</f>
        <v/>
      </c>
      <c r="Y43">
        <f>HYPERLINK("https://klasma.github.io/Logging_2560/tillsynsmail/A 16255-2024 tillsynsbegäran mail.docx", "A 16255-2024")</f>
        <v/>
      </c>
    </row>
    <row r="44" ht="15" customHeight="1">
      <c r="A44" t="inlineStr">
        <is>
          <t>A 23134-2024</t>
        </is>
      </c>
      <c r="B44" s="1" t="n">
        <v>45450</v>
      </c>
      <c r="C44" s="1" t="n">
        <v>45804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27.4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23134-2024 artfynd.xlsx", "A 23134-2024")</f>
        <v/>
      </c>
      <c r="T44">
        <f>HYPERLINK("https://klasma.github.io/Logging_2560/kartor/A 23134-2024 karta.png", "A 23134-2024")</f>
        <v/>
      </c>
      <c r="V44">
        <f>HYPERLINK("https://klasma.github.io/Logging_2560/klagomål/A 23134-2024 FSC-klagomål.docx", "A 23134-2024")</f>
        <v/>
      </c>
      <c r="W44">
        <f>HYPERLINK("https://klasma.github.io/Logging_2560/klagomålsmail/A 23134-2024 FSC-klagomål mail.docx", "A 23134-2024")</f>
        <v/>
      </c>
      <c r="X44">
        <f>HYPERLINK("https://klasma.github.io/Logging_2560/tillsyn/A 23134-2024 tillsynsbegäran.docx", "A 23134-2024")</f>
        <v/>
      </c>
      <c r="Y44">
        <f>HYPERLINK("https://klasma.github.io/Logging_2560/tillsynsmail/A 23134-2024 tillsynsbegäran mail.docx", "A 23134-2024")</f>
        <v/>
      </c>
    </row>
    <row r="45" ht="15" customHeight="1">
      <c r="A45" t="inlineStr">
        <is>
          <t>A 24386-2024</t>
        </is>
      </c>
      <c r="B45" s="1" t="n">
        <v>45457</v>
      </c>
      <c r="C45" s="1" t="n">
        <v>45804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24386-2024 artfynd.xlsx", "A 24386-2024")</f>
        <v/>
      </c>
      <c r="T45">
        <f>HYPERLINK("https://klasma.github.io/Logging_2560/kartor/A 24386-2024 karta.png", "A 24386-2024")</f>
        <v/>
      </c>
      <c r="V45">
        <f>HYPERLINK("https://klasma.github.io/Logging_2560/klagomål/A 24386-2024 FSC-klagomål.docx", "A 24386-2024")</f>
        <v/>
      </c>
      <c r="W45">
        <f>HYPERLINK("https://klasma.github.io/Logging_2560/klagomålsmail/A 24386-2024 FSC-klagomål mail.docx", "A 24386-2024")</f>
        <v/>
      </c>
      <c r="X45">
        <f>HYPERLINK("https://klasma.github.io/Logging_2560/tillsyn/A 24386-2024 tillsynsbegäran.docx", "A 24386-2024")</f>
        <v/>
      </c>
      <c r="Y45">
        <f>HYPERLINK("https://klasma.github.io/Logging_2560/tillsynsmail/A 24386-2024 tillsynsbegäran mail.docx", "A 24386-2024")</f>
        <v/>
      </c>
    </row>
    <row r="46" ht="15" customHeight="1">
      <c r="A46" t="inlineStr">
        <is>
          <t>A 32818-2024</t>
        </is>
      </c>
      <c r="B46" s="1" t="n">
        <v>45516</v>
      </c>
      <c r="C46" s="1" t="n">
        <v>45804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7.6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32818-2024 artfynd.xlsx", "A 32818-2024")</f>
        <v/>
      </c>
      <c r="T46">
        <f>HYPERLINK("https://klasma.github.io/Logging_2560/kartor/A 32818-2024 karta.png", "A 32818-2024")</f>
        <v/>
      </c>
      <c r="V46">
        <f>HYPERLINK("https://klasma.github.io/Logging_2560/klagomål/A 32818-2024 FSC-klagomål.docx", "A 32818-2024")</f>
        <v/>
      </c>
      <c r="W46">
        <f>HYPERLINK("https://klasma.github.io/Logging_2560/klagomålsmail/A 32818-2024 FSC-klagomål mail.docx", "A 32818-2024")</f>
        <v/>
      </c>
      <c r="X46">
        <f>HYPERLINK("https://klasma.github.io/Logging_2560/tillsyn/A 32818-2024 tillsynsbegäran.docx", "A 32818-2024")</f>
        <v/>
      </c>
      <c r="Y46">
        <f>HYPERLINK("https://klasma.github.io/Logging_2560/tillsynsmail/A 32818-2024 tillsynsbegäran mail.docx", "A 32818-2024")</f>
        <v/>
      </c>
    </row>
    <row r="47" ht="15" customHeight="1">
      <c r="A47" t="inlineStr">
        <is>
          <t>A 45310-2024</t>
        </is>
      </c>
      <c r="B47" s="1" t="n">
        <v>45576</v>
      </c>
      <c r="C47" s="1" t="n">
        <v>45804</v>
      </c>
      <c r="D47" t="inlineStr">
        <is>
          <t>NORRBOTTENS LÄN</t>
        </is>
      </c>
      <c r="E47" t="inlineStr">
        <is>
          <t>ÄLVSBYN</t>
        </is>
      </c>
      <c r="G47" t="n">
        <v>8.199999999999999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45310-2024 artfynd.xlsx", "A 45310-2024")</f>
        <v/>
      </c>
      <c r="T47">
        <f>HYPERLINK("https://klasma.github.io/Logging_2560/kartor/A 45310-2024 karta.png", "A 45310-2024")</f>
        <v/>
      </c>
      <c r="V47">
        <f>HYPERLINK("https://klasma.github.io/Logging_2560/klagomål/A 45310-2024 FSC-klagomål.docx", "A 45310-2024")</f>
        <v/>
      </c>
      <c r="W47">
        <f>HYPERLINK("https://klasma.github.io/Logging_2560/klagomålsmail/A 45310-2024 FSC-klagomål mail.docx", "A 45310-2024")</f>
        <v/>
      </c>
      <c r="X47">
        <f>HYPERLINK("https://klasma.github.io/Logging_2560/tillsyn/A 45310-2024 tillsynsbegäran.docx", "A 45310-2024")</f>
        <v/>
      </c>
      <c r="Y47">
        <f>HYPERLINK("https://klasma.github.io/Logging_2560/tillsynsmail/A 45310-2024 tillsynsbegäran mail.docx", "A 45310-2024")</f>
        <v/>
      </c>
    </row>
    <row r="48" ht="15" customHeight="1">
      <c r="A48" t="inlineStr">
        <is>
          <t>A 45314-2024</t>
        </is>
      </c>
      <c r="B48" s="1" t="n">
        <v>45576</v>
      </c>
      <c r="C48" s="1" t="n">
        <v>45804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Orange taggsvamp
Dropptaggsvamp</t>
        </is>
      </c>
      <c r="S48">
        <f>HYPERLINK("https://klasma.github.io/Logging_2560/artfynd/A 45314-2024 artfynd.xlsx", "A 45314-2024")</f>
        <v/>
      </c>
      <c r="T48">
        <f>HYPERLINK("https://klasma.github.io/Logging_2560/kartor/A 45314-2024 karta.png", "A 45314-2024")</f>
        <v/>
      </c>
      <c r="V48">
        <f>HYPERLINK("https://klasma.github.io/Logging_2560/klagomål/A 45314-2024 FSC-klagomål.docx", "A 45314-2024")</f>
        <v/>
      </c>
      <c r="W48">
        <f>HYPERLINK("https://klasma.github.io/Logging_2560/klagomålsmail/A 45314-2024 FSC-klagomål mail.docx", "A 45314-2024")</f>
        <v/>
      </c>
      <c r="X48">
        <f>HYPERLINK("https://klasma.github.io/Logging_2560/tillsyn/A 45314-2024 tillsynsbegäran.docx", "A 45314-2024")</f>
        <v/>
      </c>
      <c r="Y48">
        <f>HYPERLINK("https://klasma.github.io/Logging_2560/tillsynsmail/A 45314-2024 tillsynsbegäran mail.docx", "A 45314-2024")</f>
        <v/>
      </c>
    </row>
    <row r="49" ht="15" customHeight="1">
      <c r="A49" t="inlineStr">
        <is>
          <t>A 45317-2024</t>
        </is>
      </c>
      <c r="B49" s="1" t="n">
        <v>45576</v>
      </c>
      <c r="C49" s="1" t="n">
        <v>45804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5.2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Skarp dropptaggsvamp</t>
        </is>
      </c>
      <c r="S49">
        <f>HYPERLINK("https://klasma.github.io/Logging_2560/artfynd/A 45317-2024 artfynd.xlsx", "A 45317-2024")</f>
        <v/>
      </c>
      <c r="T49">
        <f>HYPERLINK("https://klasma.github.io/Logging_2560/kartor/A 45317-2024 karta.png", "A 45317-2024")</f>
        <v/>
      </c>
      <c r="V49">
        <f>HYPERLINK("https://klasma.github.io/Logging_2560/klagomål/A 45317-2024 FSC-klagomål.docx", "A 45317-2024")</f>
        <v/>
      </c>
      <c r="W49">
        <f>HYPERLINK("https://klasma.github.io/Logging_2560/klagomålsmail/A 45317-2024 FSC-klagomål mail.docx", "A 45317-2024")</f>
        <v/>
      </c>
      <c r="X49">
        <f>HYPERLINK("https://klasma.github.io/Logging_2560/tillsyn/A 45317-2024 tillsynsbegäran.docx", "A 45317-2024")</f>
        <v/>
      </c>
      <c r="Y49">
        <f>HYPERLINK("https://klasma.github.io/Logging_2560/tillsynsmail/A 45317-2024 tillsynsbegäran mail.docx", "A 45317-2024")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45804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21856-2025</t>
        </is>
      </c>
      <c r="B51" s="1" t="n">
        <v>45784</v>
      </c>
      <c r="C51" s="1" t="n">
        <v>45804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26.9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Tibast</t>
        </is>
      </c>
      <c r="S51">
        <f>HYPERLINK("https://klasma.github.io/Logging_252560/artfynd/A 21856-2025 artfynd.xlsx", "A 21856-2025")</f>
        <v/>
      </c>
      <c r="T51">
        <f>HYPERLINK("https://klasma.github.io/Logging_252560/kartor/A 21856-2025 karta.png", "A 21856-2025")</f>
        <v/>
      </c>
      <c r="V51">
        <f>HYPERLINK("https://klasma.github.io/Logging_252560/klagomål/A 21856-2025 FSC-klagomål.docx", "A 21856-2025")</f>
        <v/>
      </c>
      <c r="W51">
        <f>HYPERLINK("https://klasma.github.io/Logging_252560/klagomålsmail/A 21856-2025 FSC-klagomål mail.docx", "A 21856-2025")</f>
        <v/>
      </c>
      <c r="X51">
        <f>HYPERLINK("https://klasma.github.io/Logging_252560/tillsyn/A 21856-2025 tillsynsbegäran.docx", "A 21856-2025")</f>
        <v/>
      </c>
      <c r="Y51">
        <f>HYPERLINK("https://klasma.github.io/Logging_252560/tillsynsmail/A 21856-2025 tillsynsbegäran mail.docx", "A 21856-2025")</f>
        <v/>
      </c>
    </row>
    <row r="52" ht="15" customHeight="1">
      <c r="A52" t="inlineStr">
        <is>
          <t>A 22567-2025</t>
        </is>
      </c>
      <c r="B52" s="1" t="n">
        <v>45789</v>
      </c>
      <c r="C52" s="1" t="n">
        <v>45804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Rotfingersvamp
Orange taggsvamp</t>
        </is>
      </c>
      <c r="S52">
        <f>HYPERLINK("https://klasma.github.io/Logging_252560/artfynd/A 22567-2025 artfynd.xlsx", "A 22567-2025")</f>
        <v/>
      </c>
      <c r="T52">
        <f>HYPERLINK("https://klasma.github.io/Logging_252560/kartor/A 22567-2025 karta.png", "A 22567-2025")</f>
        <v/>
      </c>
      <c r="V52">
        <f>HYPERLINK("https://klasma.github.io/Logging_252560/klagomål/A 22567-2025 FSC-klagomål.docx", "A 22567-2025")</f>
        <v/>
      </c>
      <c r="W52">
        <f>HYPERLINK("https://klasma.github.io/Logging_252560/klagomålsmail/A 22567-2025 FSC-klagomål mail.docx", "A 22567-2025")</f>
        <v/>
      </c>
      <c r="X52">
        <f>HYPERLINK("https://klasma.github.io/Logging_252560/tillsyn/A 22567-2025 tillsynsbegäran.docx", "A 22567-2025")</f>
        <v/>
      </c>
      <c r="Y52">
        <f>HYPERLINK("https://klasma.github.io/Logging_252560/tillsynsmail/A 22567-2025 tillsynsbegäran mail.docx", "A 22567-2025")</f>
        <v/>
      </c>
    </row>
    <row r="53" ht="15" customHeight="1">
      <c r="A53" t="inlineStr">
        <is>
          <t>A 51078-2019</t>
        </is>
      </c>
      <c r="B53" s="1" t="n">
        <v>43739</v>
      </c>
      <c r="C53" s="1" t="n">
        <v>45804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14.8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51078-2019 artfynd.xlsx", "A 51078-2019")</f>
        <v/>
      </c>
      <c r="T53">
        <f>HYPERLINK("https://klasma.github.io/Logging_2560/kartor/A 51078-2019 karta.png", "A 51078-2019")</f>
        <v/>
      </c>
      <c r="V53">
        <f>HYPERLINK("https://klasma.github.io/Logging_2560/klagomål/A 51078-2019 FSC-klagomål.docx", "A 51078-2019")</f>
        <v/>
      </c>
      <c r="W53">
        <f>HYPERLINK("https://klasma.github.io/Logging_2560/klagomålsmail/A 51078-2019 FSC-klagomål mail.docx", "A 51078-2019")</f>
        <v/>
      </c>
      <c r="X53">
        <f>HYPERLINK("https://klasma.github.io/Logging_2560/tillsyn/A 51078-2019 tillsynsbegäran.docx", "A 51078-2019")</f>
        <v/>
      </c>
      <c r="Y53">
        <f>HYPERLINK("https://klasma.github.io/Logging_2560/tillsynsmail/A 51078-2019 tillsynsbegäran mail.docx", "A 51078-2019")</f>
        <v/>
      </c>
      <c r="Z53">
        <f>HYPERLINK("https://klasma.github.io/Logging_2560/fåglar/A 51078-2019 prioriterade fågelarter.docx", "A 51078-2019")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45804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45804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34022-2022</t>
        </is>
      </c>
      <c r="B56" s="1" t="n">
        <v>44791</v>
      </c>
      <c r="C56" s="1" t="n">
        <v>45804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HYPERLINK("https://klasma.github.io/Logging_2560/artfynd/A 34022-2022 artfynd.xlsx", "A 34022-2022")</f>
        <v/>
      </c>
      <c r="T56">
        <f>HYPERLINK("https://klasma.github.io/Logging_2560/kartor/A 34022-2022 karta.png", "A 34022-2022")</f>
        <v/>
      </c>
      <c r="V56">
        <f>HYPERLINK("https://klasma.github.io/Logging_2560/klagomål/A 34022-2022 FSC-klagomål.docx", "A 34022-2022")</f>
        <v/>
      </c>
      <c r="W56">
        <f>HYPERLINK("https://klasma.github.io/Logging_2560/klagomålsmail/A 34022-2022 FSC-klagomål mail.docx", "A 34022-2022")</f>
        <v/>
      </c>
      <c r="X56">
        <f>HYPERLINK("https://klasma.github.io/Logging_2560/tillsyn/A 34022-2022 tillsynsbegäran.docx", "A 34022-2022")</f>
        <v/>
      </c>
      <c r="Y56">
        <f>HYPERLINK("https://klasma.github.io/Logging_2560/tillsynsmail/A 34022-2022 tillsynsbegäran mail.docx", "A 34022-2022")</f>
        <v/>
      </c>
    </row>
    <row r="57" ht="15" customHeight="1">
      <c r="A57" t="inlineStr">
        <is>
          <t>A 38620-2022</t>
        </is>
      </c>
      <c r="B57" s="1" t="n">
        <v>44813</v>
      </c>
      <c r="C57" s="1" t="n">
        <v>45804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42680-2022</t>
        </is>
      </c>
      <c r="B58" s="1" t="n">
        <v>44832</v>
      </c>
      <c r="C58" s="1" t="n">
        <v>45804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44283-2022</t>
        </is>
      </c>
      <c r="B59" s="1" t="n">
        <v>44839</v>
      </c>
      <c r="C59" s="1" t="n">
        <v>45804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44283-2022 artfynd.xlsx", "A 44283-2022")</f>
        <v/>
      </c>
      <c r="T59">
        <f>HYPERLINK("https://klasma.github.io/Logging_2560/kartor/A 44283-2022 karta.png", "A 44283-2022")</f>
        <v/>
      </c>
      <c r="V59">
        <f>HYPERLINK("https://klasma.github.io/Logging_2560/klagomål/A 44283-2022 FSC-klagomål.docx", "A 44283-2022")</f>
        <v/>
      </c>
      <c r="W59">
        <f>HYPERLINK("https://klasma.github.io/Logging_2560/klagomålsmail/A 44283-2022 FSC-klagomål mail.docx", "A 44283-2022")</f>
        <v/>
      </c>
      <c r="X59">
        <f>HYPERLINK("https://klasma.github.io/Logging_2560/tillsyn/A 44283-2022 tillsynsbegäran.docx", "A 44283-2022")</f>
        <v/>
      </c>
      <c r="Y59">
        <f>HYPERLINK("https://klasma.github.io/Logging_2560/tillsynsmail/A 44283-2022 tillsynsbegäran mail.docx", "A 44283-2022")</f>
        <v/>
      </c>
    </row>
    <row r="60" ht="15" customHeight="1">
      <c r="A60" t="inlineStr">
        <is>
          <t>A 31829-2023</t>
        </is>
      </c>
      <c r="B60" s="1" t="n">
        <v>45106</v>
      </c>
      <c r="C60" s="1" t="n">
        <v>45804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HYPERLINK("https://klasma.github.io/Logging_2560/artfynd/A 31829-2023 artfynd.xlsx", "A 31829-2023")</f>
        <v/>
      </c>
      <c r="T60">
        <f>HYPERLINK("https://klasma.github.io/Logging_2560/kartor/A 31829-2023 karta.png", "A 31829-2023")</f>
        <v/>
      </c>
      <c r="V60">
        <f>HYPERLINK("https://klasma.github.io/Logging_2560/klagomål/A 31829-2023 FSC-klagomål.docx", "A 31829-2023")</f>
        <v/>
      </c>
      <c r="W60">
        <f>HYPERLINK("https://klasma.github.io/Logging_2560/klagomålsmail/A 31829-2023 FSC-klagomål mail.docx", "A 31829-2023")</f>
        <v/>
      </c>
      <c r="X60">
        <f>HYPERLINK("https://klasma.github.io/Logging_2560/tillsyn/A 31829-2023 tillsynsbegäran.docx", "A 31829-2023")</f>
        <v/>
      </c>
      <c r="Y60">
        <f>HYPERLINK("https://klasma.github.io/Logging_2560/tillsynsmail/A 31829-2023 tillsynsbegäran mail.docx", "A 31829-2023")</f>
        <v/>
      </c>
      <c r="Z60">
        <f>HYPERLINK("https://klasma.github.io/Logging_2560/fåglar/A 31829-2023 prioriterade fågelarter.docx", "A 31829-2023")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45804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45804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45804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45804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45804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45804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45804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45804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45804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45804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45804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45804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45804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45804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45804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45804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45804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45804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45804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45804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45804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45804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45804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45804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45804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45804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45804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45804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45804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45804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45804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45804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45804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45804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45804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45804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45804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45804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45804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45804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45804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45804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45804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45804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45804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45804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45804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45804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45804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45804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45804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45804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45804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45804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45804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45804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45804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45804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45804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45804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45804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45804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45804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45804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45804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45804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45804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45804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45804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45804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45804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45804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45804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45804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45804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45804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45804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45804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45804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45804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45804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45804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45804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45804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45804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45804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45804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45804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45804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45804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45804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45804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45804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45804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45804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45804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45804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45804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45804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45804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45804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45804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45804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45804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45804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45804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45804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45804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45804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45804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45804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45804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45804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45804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45804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45804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45804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45804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45804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45804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45804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45804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45804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45804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45804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45804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45804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45804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45804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45804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45804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45804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45804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45804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45804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45804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45804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45804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45804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45804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45804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45804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45804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45804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45804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45804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45804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45804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45804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45804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45804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45804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45804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45804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45804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45804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45804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45804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45804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45804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45804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45804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45804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45804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45804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45804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45804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45804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45804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45804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45804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45804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45804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45804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45804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45804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45804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45804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45804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45804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45804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45804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45804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45804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45804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45804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45804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45804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45804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45804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45804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45804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45804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45804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45804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45804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45804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45804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45804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45804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45804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45804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45804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45804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45804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45804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45804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45804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45804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45804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45804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45804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45804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45804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45804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45804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45804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45804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45804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45804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45804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45804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45804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45804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45804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45804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45804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45804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45804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45804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45804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45804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45804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45804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45804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45804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45804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45804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45804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45804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45804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45804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45804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45804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45804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45804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45804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45804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45804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45804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45804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45804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45804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45804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45804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45804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45804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45804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45804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45804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45804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45804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45804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45804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45804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45804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45804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45804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45804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45804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45804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45804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45804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45804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45804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45804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45804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45804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45804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45804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45804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45804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45804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45804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45804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45804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45804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45804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45804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45804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45804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45804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45804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45804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45804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45804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45804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45804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45804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45804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45804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45804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45804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45804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45804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45804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45804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45804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45804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45804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45804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45804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45804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45804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45804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45804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45804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45804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45804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45804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45804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45804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45804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45804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45804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45804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45804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45804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45804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45804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45804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45804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45804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45804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45804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45804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45804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45804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45804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45804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45804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45804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45804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45804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45804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45804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45804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45804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45804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45804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45804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45804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45804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45804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45804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45804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45804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45804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45804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45804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45804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45804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45804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45804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45804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45804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45804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45804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45804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45804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45804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45804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45804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45804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45804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45804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45804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45804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45804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45804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45804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45804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45804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45804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45804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45804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45804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45804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45804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45804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45804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45804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45804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45804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45804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45804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45804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45804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45804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45804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45804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45804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45804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45804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45804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45804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45804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45804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45804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45804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45804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45804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45804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45804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45804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45804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45804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45804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45804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45804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45804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45804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45804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45804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45804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45804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45804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45804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45804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45804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45804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45804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45804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45804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45804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45804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45804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45804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45804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45804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45804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45804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45804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45804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45804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45804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45804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45804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45804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45804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45804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45804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45804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45804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45804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45804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45804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45804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45804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45804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45804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45804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45804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45804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45804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45804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45804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45804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45804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45804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45804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45804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45804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45804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45804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45804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45804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45804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45804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45804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45804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45804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45804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45804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45804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45804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45804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45804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45804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45804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45804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45804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45804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45804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45804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45804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45804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45804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45804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45804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45804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45804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45804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45804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45804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45804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45804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45804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45804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45804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45804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45804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45804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45804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45804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45804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45804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45804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45804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45804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45804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45804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45804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45804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45804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45804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45804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45804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45804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45804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45804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45804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45804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45804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45804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45804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45804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45804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45804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45804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45804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45804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45804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45804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45804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45804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45804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45804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45804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45804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45804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45804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45804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45804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45804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45804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45804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45804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45804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45804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45804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45804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45804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45804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45804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45804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45804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45804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45804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45804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45804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45804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45804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45804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45804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45804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45804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45804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45804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45804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45804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45804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45804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45804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45804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45804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45804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45804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45804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45804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45804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45804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45804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45804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45804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45804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45804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45804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45804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45804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45804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45804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45804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45804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45804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45804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45804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45804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45804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45804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45804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45804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45804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45804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45804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45804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45804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45804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45804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45804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45804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45804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45804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45804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45804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45804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45804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45804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45804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45804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45804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45804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45804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45804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45804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45804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45804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45804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45804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45804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45804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45804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45804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45804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45804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45804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45804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45804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45804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45804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45804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45804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45804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45804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45804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45804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45804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45804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45804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45804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45804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45804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45804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45804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45804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45804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45804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45804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45804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45804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45804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45804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45804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45804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45804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45804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45804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45804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45804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45804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45804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45804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45804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23354-2025</t>
        </is>
      </c>
      <c r="B744" s="1" t="n">
        <v>45791</v>
      </c>
      <c r="C744" s="1" t="n">
        <v>45804</v>
      </c>
      <c r="D744" t="inlineStr">
        <is>
          <t>NORRBOTTENS LÄN</t>
        </is>
      </c>
      <c r="E744" t="inlineStr">
        <is>
          <t>ÄLVSBYN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23336-2025</t>
        </is>
      </c>
      <c r="B745" s="1" t="n">
        <v>45791</v>
      </c>
      <c r="C745" s="1" t="n">
        <v>45804</v>
      </c>
      <c r="D745" t="inlineStr">
        <is>
          <t>NORRBOTTENS LÄN</t>
        </is>
      </c>
      <c r="E745" t="inlineStr">
        <is>
          <t>ÄLVSBYN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23150-2025</t>
        </is>
      </c>
      <c r="B746" s="1" t="n">
        <v>45791</v>
      </c>
      <c r="C746" s="1" t="n">
        <v>45804</v>
      </c>
      <c r="D746" t="inlineStr">
        <is>
          <t>NORRBOTTENS LÄN</t>
        </is>
      </c>
      <c r="E746" t="inlineStr">
        <is>
          <t>ÄLVSBYN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45804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45804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45804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45804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25622-2025</t>
        </is>
      </c>
      <c r="B751" s="1" t="n">
        <v>45803</v>
      </c>
      <c r="C751" s="1" t="n">
        <v>45804</v>
      </c>
      <c r="D751" t="inlineStr">
        <is>
          <t>NORRBOTTENS LÄN</t>
        </is>
      </c>
      <c r="E751" t="inlineStr">
        <is>
          <t>ÄLVSBYN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25621-2025</t>
        </is>
      </c>
      <c r="B752" s="1" t="n">
        <v>45803</v>
      </c>
      <c r="C752" s="1" t="n">
        <v>45804</v>
      </c>
      <c r="D752" t="inlineStr">
        <is>
          <t>NORRBOTTENS LÄN</t>
        </is>
      </c>
      <c r="E752" t="inlineStr">
        <is>
          <t>ÄLVSBYN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2025-05-27T17:54:14Z</dcterms:created>
  <dcterms:modified xmlns:dcterms="http://purl.org/dc/terms/" xmlns:xsi="http://www.w3.org/2001/XMLSchema-instance" xsi:type="dcterms:W3CDTF">2025-05-27T17:54:15Z</dcterms:modified>
</cp:coreProperties>
</file>